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sehilfe" sheetId="1" state="visible" r:id="rId3"/>
    <sheet name="Kernzahlen" sheetId="2" state="visible" r:id="rId4"/>
    <sheet name="Produktionsorganisation" sheetId="3" state="visible" r:id="rId5"/>
    <sheet name="Standardisierung" sheetId="4" state="visible" r:id="rId6"/>
    <sheet name="Fertigungstiefe" sheetId="5" state="visible" r:id="rId7"/>
    <sheet name="Fertigungstiefe Zulieferzeit" sheetId="6" state="visible" r:id="rId8"/>
    <sheet name="Produktportfolio" sheetId="7" state="visible" r:id="rId9"/>
    <sheet name="Sensitivitätsanalyse" sheetId="8" state="visible" r:id="rId10"/>
    <sheet name="Verifikation" sheetId="9" state="visible" r:id="rId11"/>
    <sheet name="Parameter"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<sst xmlns="http://schemas.openxmlformats.org/spreadsheetml/2006/main" count="620" uniqueCount="220">
  <si>
    <t xml:space="preserve">Ergebnisse der Modellbetrachtung</t>
  </si>
  <si>
    <t xml:space="preserve">Begleitmappe zu Abschnitt 6.3 der Masterarbeit</t>
  </si>
  <si>
    <t xml:space="preserve">Was diese Mappe enthält</t>
  </si>
  <si>
    <t xml:space="preserve">Alle Ergebnisse des ereignisdiskreten Ablaufmodells zur Skalierbarkeit der Satellitenfertigung. Die Zahlen stammen aus einem Lauf des Simulationsskripts und sind durch feste Startwerte des Zufallsgenerators wiederholbar.</t>
  </si>
  <si>
    <t xml:space="preserve">So liest sich die Mappe</t>
  </si>
  <si>
    <t xml:space="preserve">Jedes Blatt verändert genau eine Größe und hält die übrigen fest. Die gelb hinterlegte Zeile ist jeweils der Ausgangsvergleich. Ein Unterschied ist nur dann belastbar, wenn er größer ist als die beiden Konfidenzintervalle zusammen.</t>
  </si>
  <si>
    <t xml:space="preserve">Blätter</t>
  </si>
  <si>
    <t xml:space="preserve">Kernzahlen</t>
  </si>
  <si>
    <t xml:space="preserve">Die Werte, auf die sich die Auswertung stützt, nach Befund gruppiert.</t>
  </si>
  <si>
    <t xml:space="preserve">Produktionsorganisation</t>
  </si>
  <si>
    <t xml:space="preserve">Aufteilung der 30 Stationsplätze und Zahl der Prüfstationen.</t>
  </si>
  <si>
    <t xml:space="preserve">Standardisierung</t>
  </si>
  <si>
    <t xml:space="preserve">Anpassungsaufwand bei Variantenwechsel und Zeitfaktor der Automatisierung.</t>
  </si>
  <si>
    <t xml:space="preserve">Fertigungstiefe</t>
  </si>
  <si>
    <t xml:space="preserve">Anteil des intern gefertigten Arbeitsinhalts.</t>
  </si>
  <si>
    <t xml:space="preserve">Fertigungstiefe Zulieferzeit</t>
  </si>
  <si>
    <t xml:space="preserve">Dieselbe Frage bei steigender Wartezeit auf Zukaufteile.</t>
  </si>
  <si>
    <t xml:space="preserve">Produktportfolio</t>
  </si>
  <si>
    <t xml:space="preserve">Häufigkeit der Variantenwechsel und Wirkung der Standardisierung.</t>
  </si>
  <si>
    <t xml:space="preserve">Sensitivitätsanalyse</t>
  </si>
  <si>
    <t xml:space="preserve">Halten die Befunde auch bei veränderten Annahmen?</t>
  </si>
  <si>
    <t xml:space="preserve">Verifikation</t>
  </si>
  <si>
    <t xml:space="preserve">Grenzwerttests zur Prüfung der Modelllogik.</t>
  </si>
  <si>
    <t xml:space="preserve">Parameter</t>
  </si>
  <si>
    <t xml:space="preserve">Alle Ausprägungen der Modellgrößen im Überblick.</t>
  </si>
  <si>
    <t xml:space="preserve">Ergebnisgrößen</t>
  </si>
  <si>
    <t xml:space="preserve">Programmdauer</t>
  </si>
  <si>
    <t xml:space="preserve">Zeitpunkt, zu dem der letzte der 180 Satelliten die Prüfung abgeschlossen hat. Kleiner ist besser.</t>
  </si>
  <si>
    <t xml:space="preserve">Ausbringungsrate</t>
  </si>
  <si>
    <t xml:space="preserve">Fertiggestellte Satelliten je Zeiteinheit am Programmende. Größer ist besser.</t>
  </si>
  <si>
    <t xml:space="preserve">Hochlaufdauer</t>
  </si>
  <si>
    <t xml:space="preserve">Zeitpunkt, ab dem die Ausbringungsrate erstmals 95 % ihres Endwerts erreicht.</t>
  </si>
  <si>
    <t xml:space="preserve">Auslastung der Prüfung</t>
  </si>
  <si>
    <t xml:space="preserve">Anteil der Programmdauer, in dem die Prüfstationen belegt sind.</t>
  </si>
  <si>
    <t xml:space="preserve">Fehlteile je Satellit</t>
  </si>
  <si>
    <t xml:space="preserve">Mittlere Zahl fehlender Zukaufteile je Satellit. Steigt mit sinkender Fertigungstiefe.</t>
  </si>
  <si>
    <t xml:space="preserve">Konfidenzintervall ±</t>
  </si>
  <si>
    <t xml:space="preserve">Halbe Breite des 95-%-Konfidenzintervalls über 30 Läufe.</t>
  </si>
  <si>
    <t xml:space="preserve">Modellgrößen</t>
  </si>
  <si>
    <t xml:space="preserve">Konfiguration 1 × 30 bis 15 × 2</t>
  </si>
  <si>
    <t xml:space="preserve">Linien mal Stationen je Linie. In allen Fällen zusammen 30 Stationsplätze.</t>
  </si>
  <si>
    <t xml:space="preserve">Prüfstationen K</t>
  </si>
  <si>
    <t xml:space="preserve">Zahl der Prüfstationen, die sich alle Linien teilen.</t>
  </si>
  <si>
    <t xml:space="preserve">Wechselwahrscheinlichkeit v</t>
  </si>
  <si>
    <t xml:space="preserve">Wie häufig sich ein Satellit vom zuvor auf derselben Linie gefertigten unterscheidet.</t>
  </si>
  <si>
    <t xml:space="preserve">Anpassungsanteil r</t>
  </si>
  <si>
    <t xml:space="preserve">Zusätzliche Zeit je Station bei einem Variantenwechsel, als Anteil der Stationszeit. Mehr Standardisierung bedeutet ein kleineres r.</t>
  </si>
  <si>
    <t xml:space="preserve">Zeitfaktor k</t>
  </si>
  <si>
    <t xml:space="preserve">Faktor auf die reguläre Bearbeitungszeit. Mehr Automatisierung bedeutet ein kleineres k.</t>
  </si>
  <si>
    <t xml:space="preserve">Fertigungstiefe f</t>
  </si>
  <si>
    <t xml:space="preserve">ZE</t>
  </si>
  <si>
    <t xml:space="preserve">Normierte Zeiteinheit. Die Werte sind untereinander vergleichbar, aber keine realen Minuten oder Stunden.</t>
  </si>
  <si>
    <t xml:space="preserve">Rahmen des Modells</t>
  </si>
  <si>
    <t xml:space="preserve">180 Satelliten je Programm, 30 Stationsplätze, keine Zwischenpuffer, gemeinsame Prüfung mit im Mittel 2,5 ZE je Satellit, 30 Läufe je Konfiguration.</t>
  </si>
  <si>
    <t xml:space="preserve">Herkunft der Zahlen</t>
  </si>
  <si>
    <t xml:space="preserve">Simulationsprotokoll und CSV-Dateien des Laufs. Die Herleitung aller Annahmen steht in Anhang F der Arbeit.</t>
  </si>
  <si>
    <t xml:space="preserve">Zentrale Werte der Modellbetrachtung</t>
  </si>
  <si>
    <t xml:space="preserve">Die Werte, auf die sich die Auswertung stützt. Jede Zahl ist mit der Zelle im jeweiligen Datenblatt verknüpft und ändert sich mit, wenn dort etwas angepasst wird.</t>
  </si>
  <si>
    <t xml:space="preserve">Befund</t>
  </si>
  <si>
    <t xml:space="preserve">Wert</t>
  </si>
  <si>
    <t xml:space="preserve">Einheit</t>
  </si>
  <si>
    <t xml:space="preserve">Datenblatt</t>
  </si>
  <si>
    <t xml:space="preserve">Aufteilung der Stationsplätze, drei Prüfstationen</t>
  </si>
  <si>
    <t xml:space="preserve">Programmdauer der langen Linie 1 × 30</t>
  </si>
  <si>
    <t xml:space="preserve">Programmdauer der feinsten Aufteilung 15 × 2</t>
  </si>
  <si>
    <t xml:space="preserve">Verkürzung der Programmdauer</t>
  </si>
  <si>
    <t xml:space="preserve">Anteil</t>
  </si>
  <si>
    <t xml:space="preserve">berechnet</t>
  </si>
  <si>
    <t xml:space="preserve">Hochlaufdauer der langen Linie 1 × 30</t>
  </si>
  <si>
    <t xml:space="preserve">Hochlaufdauer der feinsten Aufteilung 15 × 2</t>
  </si>
  <si>
    <t xml:space="preserve">Verkürzung der Hochlaufdauer</t>
  </si>
  <si>
    <t xml:space="preserve">Prüfkapazität als Begrenzung</t>
  </si>
  <si>
    <t xml:space="preserve">Rechnerische Kapazität einer Prüfstation</t>
  </si>
  <si>
    <t xml:space="preserve">Satelliten je ZE</t>
  </si>
  <si>
    <t xml:space="preserve">Prüfdauer 2,5 ZE</t>
  </si>
  <si>
    <t xml:space="preserve">Ausbringungsrate 15 × 2 bei einer Prüfstation</t>
  </si>
  <si>
    <t xml:space="preserve">Ausbringungsrate 15 × 2 bei drei Prüfstationen</t>
  </si>
  <si>
    <t xml:space="preserve">Zuwachs der Ausbringungsrate</t>
  </si>
  <si>
    <t xml:space="preserve">Auslastung der Prüfung 15 × 2 bei einer Prüfstation</t>
  </si>
  <si>
    <t xml:space="preserve">Auslastung der Prüfung 15 × 2 bei drei Prüfstationen</t>
  </si>
  <si>
    <t xml:space="preserve">Standardisierung und Automatisierung, 5 × 6 bei drei Prüfstationen</t>
  </si>
  <si>
    <t xml:space="preserve">beide niedrig, r = 0,30 und k = 1,00</t>
  </si>
  <si>
    <t xml:space="preserve">beide hoch, r = 0,10 und k = 0,60</t>
  </si>
  <si>
    <t xml:space="preserve">Verkürzung zwischen beiden Enden</t>
  </si>
  <si>
    <t xml:space="preserve">Wirkung der Standardisierung je nach Produktportfolio, 5 × 6 bei drei Prüfstationen</t>
  </si>
  <si>
    <t xml:space="preserve">10 % Wechselwahrscheinlichkeit, niedrige Standardisierung</t>
  </si>
  <si>
    <t xml:space="preserve">10 % Wechselwahrscheinlichkeit, hohe Standardisierung</t>
  </si>
  <si>
    <t xml:space="preserve">Wirkung bei 10 % Wechselwahrscheinlichkeit</t>
  </si>
  <si>
    <t xml:space="preserve">50 % Wechselwahrscheinlichkeit, niedrige Standardisierung</t>
  </si>
  <si>
    <t xml:space="preserve">50 % Wechselwahrscheinlichkeit, hohe Standardisierung</t>
  </si>
  <si>
    <t xml:space="preserve">Wirkung bei 50 % Wechselwahrscheinlichkeit</t>
  </si>
  <si>
    <t xml:space="preserve">Fertigungstiefe, 5 × 6 bei drei Prüfstationen</t>
  </si>
  <si>
    <t xml:space="preserve">Programmdauer bei Fertigungstiefe 0,50</t>
  </si>
  <si>
    <t xml:space="preserve">Programmdauer bei Fertigungstiefe 0,65</t>
  </si>
  <si>
    <t xml:space="preserve">Programmdauer bei Fertigungstiefe 0,80</t>
  </si>
  <si>
    <t xml:space="preserve">Abstand zwischen 0,50 und 0,80</t>
  </si>
  <si>
    <t xml:space="preserve">Fehlteile je Satellit bei Fertigungstiefe 0,50</t>
  </si>
  <si>
    <t xml:space="preserve">Stück</t>
  </si>
  <si>
    <t xml:space="preserve">Fehlteile je Satellit bei Fertigungstiefe 0,80</t>
  </si>
  <si>
    <t xml:space="preserve">Kipppunkt bei steigender Zulieferzeit, 5 × 6 bei drei Prüfstationen</t>
  </si>
  <si>
    <t xml:space="preserve">Zulieferzeit 3 ZE, Fertigungstiefe 0,50</t>
  </si>
  <si>
    <t xml:space="preserve">Zulieferzeit 3 ZE, Fertigungstiefe 0,65</t>
  </si>
  <si>
    <t xml:space="preserve">Zulieferzeit 3 ZE, Fertigungstiefe 0,80</t>
  </si>
  <si>
    <t xml:space="preserve">Zulieferzeit 15 ZE, Fertigungstiefe 0,50</t>
  </si>
  <si>
    <t xml:space="preserve">Zulieferzeit 15 ZE, Fertigungstiefe 0,65</t>
  </si>
  <si>
    <t xml:space="preserve">Zulieferzeit 15 ZE, Fertigungstiefe 0,80</t>
  </si>
  <si>
    <t xml:space="preserve">Zulieferzeit 30 ZE, Fertigungstiefe 0,50</t>
  </si>
  <si>
    <t xml:space="preserve">Zulieferzeit 30 ZE, Fertigungstiefe 0,65</t>
  </si>
  <si>
    <t xml:space="preserve">Zulieferzeit 30 ZE, Fertigungstiefe 0,80</t>
  </si>
  <si>
    <t xml:space="preserve">Ausgangsvergleich: v = 0,30, r = 0,20, k = 0,80, f = 0,65, drei Prüfstationen, Konfiguration 5 × 6.</t>
  </si>
  <si>
    <t xml:space="preserve">Produktionsorganisation und Prüfkapazität</t>
  </si>
  <si>
    <t xml:space="preserve">Dieselben 30 Stationsplätze werden unterschiedlich auf Linien aufgeteilt, von einer langen Linie (1 × 30) bis zu fünfzehn kurzen (15 × 2). Zusätzlich wird die Zahl der gemeinsam genutzten Prüfstationen verändert. Alles andere bleibt gleich. Vergleiche innerhalb eines Blocks von oben nach unten, die letzte Spalte zeigt die Veränderung gegenüber der langen Linie.</t>
  </si>
  <si>
    <t xml:space="preserve">Konfiguration</t>
  </si>
  <si>
    <t xml:space="preserve">Programmdauer in ZE</t>
  </si>
  <si>
    <t xml:space="preserve">Ausbringungsrate je ZE</t>
  </si>
  <si>
    <t xml:space="preserve">Hochlaufdauer in ZE</t>
  </si>
  <si>
    <t xml:space="preserve">Veränderung der Programmdauer gegenüber 1 × 30</t>
  </si>
  <si>
    <t xml:space="preserve">Eine Prüfstation, knappe Prüfkapazität</t>
  </si>
  <si>
    <t xml:space="preserve">1 × 30</t>
  </si>
  <si>
    <t xml:space="preserve">2 × 15</t>
  </si>
  <si>
    <t xml:space="preserve">3 × 10</t>
  </si>
  <si>
    <t xml:space="preserve">5 × 6</t>
  </si>
  <si>
    <t xml:space="preserve">6 × 5</t>
  </si>
  <si>
    <t xml:space="preserve">10 × 3</t>
  </si>
  <si>
    <t xml:space="preserve">15 × 2</t>
  </si>
  <si>
    <t xml:space="preserve">Zwei Prüfstationen</t>
  </si>
  <si>
    <t xml:space="preserve">Drei Prüfstationen, ausreichende Prüfkapazität</t>
  </si>
  <si>
    <t xml:space="preserve">Die gelb hinterlegte Zeile ist der Ausgangsvergleich, von dem aus die übrigen Versuchsreihen einzelne Größen verändern.</t>
  </si>
  <si>
    <t xml:space="preserve">Standardisierung und Automatisierung</t>
  </si>
  <si>
    <t xml:space="preserve">Verändert werden der Anpassungsaufwand je Station bei einem Variantenwechsel (r) und der Zeitfaktor der Automatisierung (k). Ein kleineres r bedeutet mehr Standardisierung, ein kleineres k mehr Automatisierung. Gezeigt werden die lange Linie und die aufgeteilte Fertigung, jeweils bei knapper und bei ausreichender Prüfkapazität.</t>
  </si>
  <si>
    <t xml:space="preserve">Prüfstationen</t>
  </si>
  <si>
    <t xml:space="preserve">Automatisierung</t>
  </si>
  <si>
    <t xml:space="preserve">niedrig</t>
  </si>
  <si>
    <t xml:space="preserve">mittel</t>
  </si>
  <si>
    <t xml:space="preserve">hoch</t>
  </si>
  <si>
    <t xml:space="preserve">Mittel entspricht jeweils dem Ausgangsvergleich, also r = 0,20 und k = 0,80.</t>
  </si>
  <si>
    <t xml:space="preserve">Verändert wird der Anteil des intern gefertigten Arbeitsinhalts. Eine geringere Fertigungstiefe bedeutet weniger eigene Arbeit, aber mehr Zukaufteile und damit mehr Fehlteile, auf die gewartet werden muss.</t>
  </si>
  <si>
    <t xml:space="preserve">Eine Prüfstation</t>
  </si>
  <si>
    <t xml:space="preserve">Drei Prüfstationen</t>
  </si>
  <si>
    <t xml:space="preserve">Fertigungstiefe bei steigender Zulieferzeit</t>
  </si>
  <si>
    <t xml:space="preserve">Verändert wird die mittlere Wartezeit auf ein fehlendes Zukaufteil, für drei Fertigungstiefen in der Konfiguration 5 × 6 mit drei Prüfstationen. Die letzte Spalte markiert, welche Fertigungstiefe bei der jeweiligen Zulieferzeit am schnellsten ist. Dort, wo die Markierung wechselt, liegt der Kipppunkt.</t>
  </si>
  <si>
    <t xml:space="preserve">Mittlere Zulieferzeit je Fehlteil in ZE</t>
  </si>
  <si>
    <t xml:space="preserve">kürzeste Programmdauer</t>
  </si>
  <si>
    <t xml:space="preserve">Zulieferzeit 3 ZE</t>
  </si>
  <si>
    <t xml:space="preserve">ja</t>
  </si>
  <si>
    <t xml:space="preserve">Zulieferzeit 6 ZE</t>
  </si>
  <si>
    <t xml:space="preserve">Zulieferzeit 10 ZE</t>
  </si>
  <si>
    <t xml:space="preserve">Zulieferzeit 15 ZE</t>
  </si>
  <si>
    <t xml:space="preserve">Zulieferzeit 20 ZE</t>
  </si>
  <si>
    <t xml:space="preserve">Zulieferzeit 30 ZE</t>
  </si>
  <si>
    <t xml:space="preserve">Produktportfolio und Standardisierung</t>
  </si>
  <si>
    <t xml:space="preserve">Verändert werden die Wechselwahrscheinlichkeit zwischen zwei Satelliten (v) und der Anpassungsanteil r. Je höher v, desto häufiger folgen unterschiedliche Ausführungen aufeinander. Vergleiche innerhalb eines Blocks die drei Standardisierungsgrade, der Abstand zwischen niedrig und hoch ist die Wirkung der Standardisierung.</t>
  </si>
  <si>
    <t xml:space="preserve">1 × 30, eine Prüfstation</t>
  </si>
  <si>
    <t xml:space="preserve">1 × 30, drei Prüfstationen</t>
  </si>
  <si>
    <t xml:space="preserve">5 × 6, eine Prüfstation</t>
  </si>
  <si>
    <t xml:space="preserve">5 × 6, drei Prüfstationen</t>
  </si>
  <si>
    <t xml:space="preserve">Jede Zeile ist ein vollständiger Satz Simulationsläufe mit einer veränderten Annahme. Geprüft wird, ob die vier Befunde B1 bis B4 weiterhin gelten. Die vier Programmdauern sind die Vergleichswerte, aus denen sich die Befunde ergeben. Die Befunde stehen unterhalb der Tabelle.</t>
  </si>
  <si>
    <t xml:space="preserve">Veränderte Annahme</t>
  </si>
  <si>
    <t xml:space="preserve">Programmdauer 1 × 30 bei einer Prüfstation</t>
  </si>
  <si>
    <t xml:space="preserve">Programmdauer 1 × 30 bei drei Prüfstationen</t>
  </si>
  <si>
    <t xml:space="preserve">Programmdauer 15 × 2 bei einer Prüfstation</t>
  </si>
  <si>
    <t xml:space="preserve">Programmdauer 15 × 2 bei drei Prüfstationen</t>
  </si>
  <si>
    <t xml:space="preserve">B1</t>
  </si>
  <si>
    <t xml:space="preserve">B2</t>
  </si>
  <si>
    <t xml:space="preserve">B3</t>
  </si>
  <si>
    <t xml:space="preserve">B4</t>
  </si>
  <si>
    <t xml:space="preserve">Referenzfall</t>
  </si>
  <si>
    <t xml:space="preserve">hält</t>
  </si>
  <si>
    <t xml:space="preserve">Mindestzeit 0,65</t>
  </si>
  <si>
    <t xml:space="preserve">Mindestzeit 0,85</t>
  </si>
  <si>
    <t xml:space="preserve">Streuung CV 0,15</t>
  </si>
  <si>
    <t xml:space="preserve">Streuung CV 0,45</t>
  </si>
  <si>
    <t xml:space="preserve">Pruefdauer 1,5 ZE</t>
  </si>
  <si>
    <t xml:space="preserve">Pruefdauer 3,5 ZE</t>
  </si>
  <si>
    <t xml:space="preserve">hält nicht</t>
  </si>
  <si>
    <t xml:space="preserve">B1   Die Aufteilung auf mehrere Linien verkürzt die Programmdauer.</t>
  </si>
  <si>
    <t xml:space="preserve">B2   Der Gewinn der Aufteilung fällt größer aus, wenn die Prüfkapazität ausreicht.</t>
  </si>
  <si>
    <t xml:space="preserve">B3   Bei einer einzelnen langen Linie bringt zusätzliche Prüfkapazität keinen Vorteil.</t>
  </si>
  <si>
    <t xml:space="preserve">B4   Standardisierung wirkt vor allem bei häufigen Variantenwechseln.</t>
  </si>
  <si>
    <t xml:space="preserve">Einzige Ausnahme ist B3 bei einer Prüfdauer von 3,5 ZE. Dort bindet die Prüfung in jeder Konfiguration, sodass auch die lange Linie von zusätzlicher Prüfkapazität profitiert.</t>
  </si>
  <si>
    <t xml:space="preserve">Verifikation durch Grenzwerttests</t>
  </si>
  <si>
    <t xml:space="preserve">Einzelne Einflüsse werden abgeschaltet oder verstärkt. Geprüft wird, ob die Programmdauer in die erwartete Richtung reagiert. Alle Tests in der Konfiguration 5 × 6 mit drei Prüfstationen, je 30 Läufe.</t>
  </si>
  <si>
    <t xml:space="preserve">Grenzwerttest</t>
  </si>
  <si>
    <t xml:space="preserve">erwartete Richtung</t>
  </si>
  <si>
    <t xml:space="preserve">Ergebnis</t>
  </si>
  <si>
    <t xml:space="preserve">Basislauf</t>
  </si>
  <si>
    <t xml:space="preserve">Referenz</t>
  </si>
  <si>
    <t xml:space="preserve">ohne Erfahrungseffekt</t>
  </si>
  <si>
    <t xml:space="preserve">länger</t>
  </si>
  <si>
    <t xml:space="preserve">erfüllt</t>
  </si>
  <si>
    <t xml:space="preserve">ohne Mindestzeit</t>
  </si>
  <si>
    <t xml:space="preserve">kürzer</t>
  </si>
  <si>
    <t xml:space="preserve">ohne Variantenwechsel</t>
  </si>
  <si>
    <t xml:space="preserve">ohne Streuung</t>
  </si>
  <si>
    <t xml:space="preserve">volle Fertigungstiefe</t>
  </si>
  <si>
    <t xml:space="preserve">ohne Automatisierungsvorteil</t>
  </si>
  <si>
    <t xml:space="preserve">eine Prüfstation</t>
  </si>
  <si>
    <t xml:space="preserve">Zusätzlich wird in jedem Lauf geprüft, dass die rechnerischen Untergrenzen von Fertigung und Prüfung nicht unterschritten werden.</t>
  </si>
  <si>
    <t xml:space="preserve">Ausprägungen der Modellgrößen</t>
  </si>
  <si>
    <t xml:space="preserve">Die gelb hinterlegten Werte bilden den Ausgangsvergleich. Von dort aus verändert jede Versuchsreihe einzelne Größen. Die Herleitung aller Werte steht in Anhang F der Arbeit.</t>
  </si>
  <si>
    <t xml:space="preserve">Modellgröße</t>
  </si>
  <si>
    <t xml:space="preserve">Ausprägung</t>
  </si>
  <si>
    <t xml:space="preserve">Wert im Modell</t>
  </si>
  <si>
    <t xml:space="preserve">Bedeutung</t>
  </si>
  <si>
    <t xml:space="preserve">Produktportfolio v</t>
  </si>
  <si>
    <t xml:space="preserve">Wahrscheinlichkeit eines Variantenwechsels je Satellit</t>
  </si>
  <si>
    <t xml:space="preserve">Ausgangsvergleich</t>
  </si>
  <si>
    <t xml:space="preserve">Standardisierung r</t>
  </si>
  <si>
    <t xml:space="preserve">Anpassungsaufwand je Station als Anteil der Stationszeit</t>
  </si>
  <si>
    <t xml:space="preserve">Mehr Standardisierung bedeutet ein kleineres r</t>
  </si>
  <si>
    <t xml:space="preserve">Automatisierung k</t>
  </si>
  <si>
    <t xml:space="preserve">Faktor auf die reguläre Bearbeitungszeit, 1,0 heißt kein Vorteil</t>
  </si>
  <si>
    <t xml:space="preserve">Anteil des intern gefertigten Arbeitsinhalts</t>
  </si>
  <si>
    <t xml:space="preserve">knapp</t>
  </si>
  <si>
    <t xml:space="preserve">Gemeinsame Prüfung aller Linien, Prüfdauer im Mittel 2,5 ZE</t>
  </si>
  <si>
    <t xml:space="preserve">ausreichend</t>
  </si>
  <si>
    <t xml:space="preserve">1 × 30 bis 15 × 2</t>
  </si>
  <si>
    <t xml:space="preserve">Linien mal Stationen je Linie, zusammen stets 30 Stationsplätze</t>
  </si>
  <si>
    <t xml:space="preserve">5 × 6, also fünf Linien mit je sechs Stationen</t>
  </si>
  <si>
    <t xml:space="preserve">Programmumfang 180 Satelliten, 30 Stationsplätze, keine Zwischenpuffer, 30 Läufe je Konfiguration. Alle Zeiten sind normierte Zeiteinheiten.</t>
  </si>
</sst>
</file>

<file path=xl/styles.xml><?xml version="1.0" encoding="utf-8"?>
<styleSheet xmlns="http://schemas.openxmlformats.org/spreadsheetml/2006/main">
  <numFmts count="7">
    <numFmt numFmtId="164" formatCode="General"/>
    <numFmt numFmtId="165" formatCode="0.0"/>
    <numFmt numFmtId="166" formatCode="0.0\ %"/>
    <numFmt numFmtId="167" formatCode="0.000"/>
    <numFmt numFmtId="168" formatCode="0.00"/>
    <numFmt numFmtId="169" formatCode="0"/>
    <numFmt numFmtId="170" formatCode="0\ %"/>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Times New Roman"/>
      <family val="0"/>
      <charset val="1"/>
    </font>
    <font>
      <sz val="11"/>
      <color rgb="FF000000"/>
      <name val="Times New Roman"/>
      <family val="0"/>
      <charset val="1"/>
    </font>
    <font>
      <sz val="11"/>
      <name val="Times New Roman"/>
      <family val="0"/>
      <charset val="1"/>
    </font>
    <font>
      <b val="true"/>
      <sz val="11"/>
      <color rgb="FF000000"/>
      <name val="Times New Roman"/>
      <family val="0"/>
      <charset val="1"/>
    </font>
    <font>
      <b val="true"/>
      <sz val="11"/>
      <name val="Times New Roman"/>
      <family val="0"/>
      <charset val="1"/>
    </font>
    <font>
      <sz val="11"/>
      <color theme="1"/>
      <name val="Times New Roman"/>
      <family val="0"/>
      <charset val="1"/>
    </font>
    <font>
      <i val="true"/>
      <sz val="11"/>
      <name val="Times New Roman"/>
      <family val="0"/>
      <charset val="1"/>
    </font>
  </fonts>
  <fills count="5">
    <fill>
      <patternFill patternType="none"/>
    </fill>
    <fill>
      <patternFill patternType="gray125"/>
    </fill>
    <fill>
      <patternFill patternType="solid">
        <fgColor rgb="FF1F3864"/>
        <bgColor rgb="FF333333"/>
      </patternFill>
    </fill>
    <fill>
      <patternFill patternType="solid">
        <fgColor rgb="FFD9E2F3"/>
        <bgColor rgb="FFCCFFFF"/>
      </patternFill>
    </fill>
    <fill>
      <patternFill patternType="solid">
        <fgColor rgb="FFFFF2CC"/>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5" fontId="6" fillId="0" borderId="1" xfId="0" applyFont="true" applyBorder="true" applyAlignment="true" applyProtection="false">
      <alignment horizontal="left" vertical="center" textRotation="0" wrapText="false" indent="0" shrinkToFit="false"/>
      <protection locked="true" hidden="false"/>
    </xf>
    <xf numFmtId="166" fontId="6" fillId="0" borderId="1" xfId="0" applyFont="true" applyBorder="true" applyAlignment="true" applyProtection="false">
      <alignment horizontal="left" vertical="center" textRotation="0" wrapText="false" indent="0" shrinkToFit="false"/>
      <protection locked="true" hidden="false"/>
    </xf>
    <xf numFmtId="167" fontId="6" fillId="0" borderId="1" xfId="0" applyFont="true" applyBorder="true" applyAlignment="true" applyProtection="false">
      <alignment horizontal="left" vertical="center" textRotation="0" wrapText="false" indent="0" shrinkToFit="false"/>
      <protection locked="true" hidden="false"/>
    </xf>
    <xf numFmtId="168" fontId="6" fillId="0" borderId="1" xfId="0" applyFont="true" applyBorder="true" applyAlignment="true" applyProtection="false">
      <alignment horizontal="lef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5" fontId="6" fillId="4" borderId="1" xfId="0" applyFont="true" applyBorder="true" applyAlignment="true" applyProtection="false">
      <alignment horizontal="left" vertical="center" textRotation="0" wrapText="false" indent="0" shrinkToFit="false"/>
      <protection locked="true" hidden="false"/>
    </xf>
    <xf numFmtId="167" fontId="6" fillId="4" borderId="1" xfId="0" applyFont="true" applyBorder="true" applyAlignment="true" applyProtection="false">
      <alignment horizontal="left" vertical="center" textRotation="0" wrapText="false" indent="0" shrinkToFit="false"/>
      <protection locked="true" hidden="false"/>
    </xf>
    <xf numFmtId="166" fontId="6" fillId="4" borderId="1" xfId="0" applyFont="true" applyBorder="true" applyAlignment="true" applyProtection="false">
      <alignment horizontal="left" vertical="center" textRotation="0" wrapText="false" indent="0" shrinkToFit="false"/>
      <protection locked="true" hidden="false"/>
    </xf>
    <xf numFmtId="168" fontId="6" fillId="4" borderId="1" xfId="0" applyFont="true" applyBorder="true" applyAlignment="true" applyProtection="false">
      <alignment horizontal="left" vertical="center" textRotation="0" wrapText="false" indent="0" shrinkToFit="false"/>
      <protection locked="true" hidden="false"/>
    </xf>
    <xf numFmtId="169" fontId="6" fillId="0" borderId="1" xfId="0" applyFont="true" applyBorder="true" applyAlignment="true" applyProtection="false">
      <alignment horizontal="left" vertical="center" textRotation="0" wrapText="false" indent="0" shrinkToFit="false"/>
      <protection locked="true" hidden="false"/>
    </xf>
    <xf numFmtId="170" fontId="6" fillId="0" borderId="1" xfId="0" applyFont="true" applyBorder="true" applyAlignment="true" applyProtection="false">
      <alignment horizontal="left" vertical="center" textRotation="0" wrapText="false" indent="0" shrinkToFit="false"/>
      <protection locked="true" hidden="false"/>
    </xf>
    <xf numFmtId="170" fontId="6" fillId="4" borderId="1"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0"/>
  </cols>
  <sheetData>
    <row r="1" customFormat="false" ht="15" hidden="false" customHeight="false" outlineLevel="0" collapsed="false">
      <c r="A1" s="1" t="s">
        <v>0</v>
      </c>
      <c r="B1" s="2" t="s">
        <v>1</v>
      </c>
    </row>
    <row r="2" customFormat="false" ht="15" hidden="false" customHeight="false" outlineLevel="0" collapsed="false">
      <c r="A2" s="3"/>
      <c r="B2" s="4"/>
    </row>
    <row r="3" customFormat="false" ht="37.3" hidden="false" customHeight="false" outlineLevel="0" collapsed="false">
      <c r="A3" s="3" t="s">
        <v>2</v>
      </c>
      <c r="B3" s="4" t="s">
        <v>3</v>
      </c>
    </row>
    <row r="4" customFormat="false" ht="37.3" hidden="false" customHeight="false" outlineLevel="0" collapsed="false">
      <c r="A4" s="3" t="s">
        <v>4</v>
      </c>
      <c r="B4" s="4" t="s">
        <v>5</v>
      </c>
    </row>
    <row r="5" customFormat="false" ht="15" hidden="false" customHeight="false" outlineLevel="0" collapsed="false">
      <c r="A5" s="3"/>
      <c r="B5" s="4"/>
    </row>
    <row r="6" customFormat="false" ht="15" hidden="false" customHeight="false" outlineLevel="0" collapsed="false">
      <c r="A6" s="5" t="s">
        <v>6</v>
      </c>
      <c r="B6" s="4"/>
    </row>
    <row r="7" customFormat="false" ht="15" hidden="false" customHeight="false" outlineLevel="0" collapsed="false">
      <c r="A7" s="3" t="s">
        <v>7</v>
      </c>
      <c r="B7" s="4" t="s">
        <v>8</v>
      </c>
    </row>
    <row r="8" customFormat="false" ht="15" hidden="false" customHeight="false" outlineLevel="0" collapsed="false">
      <c r="A8" s="3" t="s">
        <v>9</v>
      </c>
      <c r="B8" s="4" t="s">
        <v>10</v>
      </c>
    </row>
    <row r="9" customFormat="false" ht="15" hidden="false" customHeight="false" outlineLevel="0" collapsed="false">
      <c r="A9" s="3" t="s">
        <v>11</v>
      </c>
      <c r="B9" s="4" t="s">
        <v>12</v>
      </c>
    </row>
    <row r="10" customFormat="false" ht="15" hidden="false" customHeight="false" outlineLevel="0" collapsed="false">
      <c r="A10" s="3" t="s">
        <v>13</v>
      </c>
      <c r="B10" s="4" t="s">
        <v>14</v>
      </c>
    </row>
    <row r="11" customFormat="false" ht="15" hidden="false" customHeight="false" outlineLevel="0" collapsed="false">
      <c r="A11" s="3" t="s">
        <v>15</v>
      </c>
      <c r="B11" s="4" t="s">
        <v>16</v>
      </c>
    </row>
    <row r="12" customFormat="false" ht="15" hidden="false" customHeight="false" outlineLevel="0" collapsed="false">
      <c r="A12" s="3" t="s">
        <v>17</v>
      </c>
      <c r="B12" s="4" t="s">
        <v>18</v>
      </c>
    </row>
    <row r="13" customFormat="false" ht="15" hidden="false" customHeight="false" outlineLevel="0" collapsed="false">
      <c r="A13" s="3" t="s">
        <v>19</v>
      </c>
      <c r="B13" s="4" t="s">
        <v>20</v>
      </c>
    </row>
    <row r="14" customFormat="false" ht="15" hidden="false" customHeight="false" outlineLevel="0" collapsed="false">
      <c r="A14" s="3" t="s">
        <v>21</v>
      </c>
      <c r="B14" s="4" t="s">
        <v>22</v>
      </c>
    </row>
    <row r="15" customFormat="false" ht="15" hidden="false" customHeight="false" outlineLevel="0" collapsed="false">
      <c r="A15" s="3" t="s">
        <v>23</v>
      </c>
      <c r="B15" s="4" t="s">
        <v>24</v>
      </c>
    </row>
    <row r="16" customFormat="false" ht="15" hidden="false" customHeight="false" outlineLevel="0" collapsed="false">
      <c r="A16" s="3"/>
      <c r="B16" s="4"/>
    </row>
    <row r="17" customFormat="false" ht="15" hidden="false" customHeight="false" outlineLevel="0" collapsed="false">
      <c r="A17" s="5" t="s">
        <v>25</v>
      </c>
      <c r="B17" s="4"/>
    </row>
    <row r="18" customFormat="false" ht="25.35" hidden="false" customHeight="false" outlineLevel="0" collapsed="false">
      <c r="A18" s="3" t="s">
        <v>26</v>
      </c>
      <c r="B18" s="4" t="s">
        <v>27</v>
      </c>
    </row>
    <row r="19" customFormat="false" ht="15" hidden="false" customHeight="false" outlineLevel="0" collapsed="false">
      <c r="A19" s="3" t="s">
        <v>28</v>
      </c>
      <c r="B19" s="4" t="s">
        <v>29</v>
      </c>
    </row>
    <row r="20" customFormat="false" ht="15" hidden="false" customHeight="false" outlineLevel="0" collapsed="false">
      <c r="A20" s="3" t="s">
        <v>30</v>
      </c>
      <c r="B20" s="4" t="s">
        <v>31</v>
      </c>
    </row>
    <row r="21" customFormat="false" ht="15" hidden="false" customHeight="false" outlineLevel="0" collapsed="false">
      <c r="A21" s="3" t="s">
        <v>32</v>
      </c>
      <c r="B21" s="4" t="s">
        <v>33</v>
      </c>
    </row>
    <row r="22" customFormat="false" ht="15" hidden="false" customHeight="false" outlineLevel="0" collapsed="false">
      <c r="A22" s="3" t="s">
        <v>34</v>
      </c>
      <c r="B22" s="4" t="s">
        <v>35</v>
      </c>
    </row>
    <row r="23" customFormat="false" ht="15" hidden="false" customHeight="false" outlineLevel="0" collapsed="false">
      <c r="A23" s="3" t="s">
        <v>36</v>
      </c>
      <c r="B23" s="4" t="s">
        <v>37</v>
      </c>
    </row>
    <row r="24" customFormat="false" ht="15" hidden="false" customHeight="false" outlineLevel="0" collapsed="false">
      <c r="A24" s="3"/>
      <c r="B24" s="4"/>
    </row>
    <row r="25" customFormat="false" ht="15" hidden="false" customHeight="false" outlineLevel="0" collapsed="false">
      <c r="A25" s="5" t="s">
        <v>38</v>
      </c>
      <c r="B25" s="4"/>
    </row>
    <row r="26" customFormat="false" ht="15" hidden="false" customHeight="false" outlineLevel="0" collapsed="false">
      <c r="A26" s="3" t="s">
        <v>39</v>
      </c>
      <c r="B26" s="4" t="s">
        <v>40</v>
      </c>
    </row>
    <row r="27" customFormat="false" ht="15" hidden="false" customHeight="false" outlineLevel="0" collapsed="false">
      <c r="A27" s="3" t="s">
        <v>41</v>
      </c>
      <c r="B27" s="4" t="s">
        <v>42</v>
      </c>
    </row>
    <row r="28" customFormat="false" ht="15" hidden="false" customHeight="false" outlineLevel="0" collapsed="false">
      <c r="A28" s="3" t="s">
        <v>43</v>
      </c>
      <c r="B28" s="4" t="s">
        <v>44</v>
      </c>
    </row>
    <row r="29" customFormat="false" ht="25.35" hidden="false" customHeight="false" outlineLevel="0" collapsed="false">
      <c r="A29" s="3" t="s">
        <v>45</v>
      </c>
      <c r="B29" s="4" t="s">
        <v>46</v>
      </c>
    </row>
    <row r="30" customFormat="false" ht="15" hidden="false" customHeight="false" outlineLevel="0" collapsed="false">
      <c r="A30" s="3" t="s">
        <v>47</v>
      </c>
      <c r="B30" s="4" t="s">
        <v>48</v>
      </c>
    </row>
    <row r="31" customFormat="false" ht="15" hidden="false" customHeight="false" outlineLevel="0" collapsed="false">
      <c r="A31" s="3" t="s">
        <v>49</v>
      </c>
      <c r="B31" s="4" t="s">
        <v>14</v>
      </c>
    </row>
    <row r="32" customFormat="false" ht="25.35" hidden="false" customHeight="false" outlineLevel="0" collapsed="false">
      <c r="A32" s="3" t="s">
        <v>50</v>
      </c>
      <c r="B32" s="4" t="s">
        <v>51</v>
      </c>
    </row>
    <row r="33" customFormat="false" ht="15" hidden="false" customHeight="false" outlineLevel="0" collapsed="false">
      <c r="A33" s="3"/>
      <c r="B33" s="4"/>
    </row>
    <row r="34" customFormat="false" ht="25.35" hidden="false" customHeight="false" outlineLevel="0" collapsed="false">
      <c r="A34" s="3" t="s">
        <v>52</v>
      </c>
      <c r="B34" s="4" t="s">
        <v>53</v>
      </c>
    </row>
    <row r="35" customFormat="false" ht="25.35" hidden="false" customHeight="false" outlineLevel="0" collapsed="false">
      <c r="A35" s="3" t="s">
        <v>54</v>
      </c>
      <c r="B35" s="4"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16"/>
    <col collapsed="false" customWidth="true" hidden="false" outlineLevel="0" max="3" min="3" style="0" width="24"/>
    <col collapsed="false" customWidth="true" hidden="false" outlineLevel="0" max="4" min="4" style="0" width="30"/>
  </cols>
  <sheetData>
    <row r="1" customFormat="false" ht="15" hidden="false" customHeight="false" outlineLevel="0" collapsed="false">
      <c r="A1" s="6" t="s">
        <v>56</v>
      </c>
      <c r="B1" s="7"/>
      <c r="C1" s="7"/>
      <c r="D1" s="7"/>
    </row>
    <row r="2" customFormat="false" ht="15" hidden="false" customHeight="false" outlineLevel="0" collapsed="false">
      <c r="A2" s="8" t="s">
        <v>57</v>
      </c>
      <c r="B2" s="7"/>
      <c r="C2" s="7"/>
      <c r="D2" s="7"/>
    </row>
    <row r="3" customFormat="false" ht="15" hidden="false" customHeight="false" outlineLevel="0" collapsed="false">
      <c r="A3" s="7"/>
      <c r="B3" s="7"/>
      <c r="C3" s="7"/>
      <c r="D3" s="7"/>
    </row>
    <row r="4" customFormat="false" ht="15" hidden="false" customHeight="false" outlineLevel="0" collapsed="false">
      <c r="A4" s="1" t="s">
        <v>58</v>
      </c>
      <c r="B4" s="1" t="s">
        <v>59</v>
      </c>
      <c r="C4" s="1" t="s">
        <v>60</v>
      </c>
      <c r="D4" s="1" t="s">
        <v>61</v>
      </c>
    </row>
    <row r="5" customFormat="false" ht="15" hidden="false" customHeight="false" outlineLevel="0" collapsed="false">
      <c r="A5" s="9" t="s">
        <v>62</v>
      </c>
      <c r="B5" s="9"/>
      <c r="C5" s="9"/>
      <c r="D5" s="9"/>
    </row>
    <row r="6" customFormat="false" ht="15" hidden="false" customHeight="false" outlineLevel="0" collapsed="false">
      <c r="A6" s="10" t="s">
        <v>63</v>
      </c>
      <c r="B6" s="11" t="n">
        <f aca="false">Produktionsorganisation!B22</f>
        <v>605.565515329861</v>
      </c>
      <c r="C6" s="10" t="s">
        <v>50</v>
      </c>
      <c r="D6" s="10" t="s">
        <v>9</v>
      </c>
    </row>
    <row r="7" customFormat="false" ht="15" hidden="false" customHeight="false" outlineLevel="0" collapsed="false">
      <c r="A7" s="10" t="s">
        <v>64</v>
      </c>
      <c r="B7" s="11" t="n">
        <f aca="false">Produktionsorganisation!B28</f>
        <v>430.815691868391</v>
      </c>
      <c r="C7" s="10" t="s">
        <v>50</v>
      </c>
      <c r="D7" s="10" t="s">
        <v>9</v>
      </c>
    </row>
    <row r="8" customFormat="false" ht="15" hidden="false" customHeight="false" outlineLevel="0" collapsed="false">
      <c r="A8" s="10" t="s">
        <v>65</v>
      </c>
      <c r="B8" s="12" t="n">
        <f aca="false">1-B7/B6</f>
        <v>0.288572943864351</v>
      </c>
      <c r="C8" s="10" t="s">
        <v>66</v>
      </c>
      <c r="D8" s="10" t="s">
        <v>67</v>
      </c>
    </row>
    <row r="9" customFormat="false" ht="15" hidden="false" customHeight="false" outlineLevel="0" collapsed="false">
      <c r="A9" s="10" t="s">
        <v>68</v>
      </c>
      <c r="B9" s="11" t="n">
        <f aca="false">Produktionsorganisation!F22</f>
        <v>152.837708702385</v>
      </c>
      <c r="C9" s="10" t="s">
        <v>50</v>
      </c>
      <c r="D9" s="10" t="s">
        <v>9</v>
      </c>
    </row>
    <row r="10" customFormat="false" ht="15" hidden="false" customHeight="false" outlineLevel="0" collapsed="false">
      <c r="A10" s="10" t="s">
        <v>69</v>
      </c>
      <c r="B10" s="11" t="n">
        <f aca="false">Produktionsorganisation!F28</f>
        <v>85.5166242047162</v>
      </c>
      <c r="C10" s="10" t="s">
        <v>50</v>
      </c>
      <c r="D10" s="10" t="s">
        <v>9</v>
      </c>
    </row>
    <row r="11" customFormat="false" ht="15" hidden="false" customHeight="false" outlineLevel="0" collapsed="false">
      <c r="A11" s="10" t="s">
        <v>70</v>
      </c>
      <c r="B11" s="12" t="n">
        <f aca="false">1-B10/B9</f>
        <v>0.440474311406751</v>
      </c>
      <c r="C11" s="10" t="s">
        <v>66</v>
      </c>
      <c r="D11" s="10" t="s">
        <v>67</v>
      </c>
    </row>
    <row r="12" customFormat="false" ht="15" hidden="false" customHeight="false" outlineLevel="0" collapsed="false">
      <c r="A12" s="9" t="s">
        <v>71</v>
      </c>
      <c r="B12" s="9"/>
      <c r="C12" s="9"/>
      <c r="D12" s="9"/>
    </row>
    <row r="13" customFormat="false" ht="15" hidden="false" customHeight="false" outlineLevel="0" collapsed="false">
      <c r="A13" s="10" t="s">
        <v>72</v>
      </c>
      <c r="B13" s="13" t="n">
        <f aca="false">1/2.5</f>
        <v>0.4</v>
      </c>
      <c r="C13" s="10" t="s">
        <v>73</v>
      </c>
      <c r="D13" s="10" t="s">
        <v>74</v>
      </c>
    </row>
    <row r="14" customFormat="false" ht="15" hidden="false" customHeight="false" outlineLevel="0" collapsed="false">
      <c r="A14" s="10" t="s">
        <v>75</v>
      </c>
      <c r="B14" s="13" t="n">
        <f aca="false">Produktionsorganisation!D12</f>
        <v>0.40561848949758</v>
      </c>
      <c r="C14" s="10" t="s">
        <v>73</v>
      </c>
      <c r="D14" s="10" t="s">
        <v>9</v>
      </c>
    </row>
    <row r="15" customFormat="false" ht="15" hidden="false" customHeight="false" outlineLevel="0" collapsed="false">
      <c r="A15" s="10" t="s">
        <v>76</v>
      </c>
      <c r="B15" s="13" t="n">
        <f aca="false">Produktionsorganisation!D28</f>
        <v>0.462313695606557</v>
      </c>
      <c r="C15" s="10" t="s">
        <v>73</v>
      </c>
      <c r="D15" s="10" t="s">
        <v>9</v>
      </c>
    </row>
    <row r="16" customFormat="false" ht="15" hidden="false" customHeight="false" outlineLevel="0" collapsed="false">
      <c r="A16" s="10" t="s">
        <v>77</v>
      </c>
      <c r="B16" s="12" t="n">
        <f aca="false">B15/B14-1</f>
        <v>0.139774708443895</v>
      </c>
      <c r="C16" s="10" t="s">
        <v>66</v>
      </c>
      <c r="D16" s="10" t="s">
        <v>67</v>
      </c>
    </row>
    <row r="17" customFormat="false" ht="15" hidden="false" customHeight="false" outlineLevel="0" collapsed="false">
      <c r="A17" s="10" t="s">
        <v>78</v>
      </c>
      <c r="B17" s="12" t="n">
        <f aca="false">Produktionsorganisation!G12</f>
        <v>0.91520560916109</v>
      </c>
      <c r="C17" s="10" t="s">
        <v>66</v>
      </c>
      <c r="D17" s="10" t="s">
        <v>9</v>
      </c>
    </row>
    <row r="18" customFormat="false" ht="15" hidden="false" customHeight="false" outlineLevel="0" collapsed="false">
      <c r="A18" s="10" t="s">
        <v>79</v>
      </c>
      <c r="B18" s="12" t="n">
        <f aca="false">Produktionsorganisation!G28</f>
        <v>0.347964667021008</v>
      </c>
      <c r="C18" s="10" t="s">
        <v>66</v>
      </c>
      <c r="D18" s="10" t="s">
        <v>9</v>
      </c>
    </row>
    <row r="19" customFormat="false" ht="15" hidden="false" customHeight="false" outlineLevel="0" collapsed="false">
      <c r="A19" s="9" t="s">
        <v>80</v>
      </c>
      <c r="B19" s="9"/>
      <c r="C19" s="9"/>
      <c r="D19" s="9"/>
    </row>
    <row r="20" customFormat="false" ht="15" hidden="false" customHeight="false" outlineLevel="0" collapsed="false">
      <c r="A20" s="10" t="s">
        <v>81</v>
      </c>
      <c r="B20" s="11" t="n">
        <f aca="false">Standardisierung!G32</f>
        <v>622.773834774187</v>
      </c>
      <c r="C20" s="10" t="s">
        <v>50</v>
      </c>
      <c r="D20" s="10" t="s">
        <v>11</v>
      </c>
    </row>
    <row r="21" customFormat="false" ht="15" hidden="false" customHeight="false" outlineLevel="0" collapsed="false">
      <c r="A21" s="10" t="s">
        <v>82</v>
      </c>
      <c r="B21" s="11" t="n">
        <f aca="false">Standardisierung!G40</f>
        <v>368.536373837335</v>
      </c>
      <c r="C21" s="10" t="s">
        <v>50</v>
      </c>
      <c r="D21" s="10" t="s">
        <v>11</v>
      </c>
    </row>
    <row r="22" customFormat="false" ht="15" hidden="false" customHeight="false" outlineLevel="0" collapsed="false">
      <c r="A22" s="10" t="s">
        <v>83</v>
      </c>
      <c r="B22" s="12" t="n">
        <f aca="false">1-B21/B20</f>
        <v>0.408234011676224</v>
      </c>
      <c r="C22" s="10" t="s">
        <v>66</v>
      </c>
      <c r="D22" s="10" t="s">
        <v>67</v>
      </c>
    </row>
    <row r="23" customFormat="false" ht="15" hidden="false" customHeight="false" outlineLevel="0" collapsed="false">
      <c r="A23" s="9" t="s">
        <v>84</v>
      </c>
      <c r="B23" s="9"/>
      <c r="C23" s="9"/>
      <c r="D23" s="9"/>
    </row>
    <row r="24" customFormat="false" ht="15" hidden="false" customHeight="false" outlineLevel="0" collapsed="false">
      <c r="A24" s="10" t="s">
        <v>85</v>
      </c>
      <c r="B24" s="11" t="n">
        <f aca="false">Produktportfolio!F36</f>
        <v>475.409003771153</v>
      </c>
      <c r="C24" s="10" t="s">
        <v>50</v>
      </c>
      <c r="D24" s="10" t="s">
        <v>17</v>
      </c>
    </row>
    <row r="25" customFormat="false" ht="15" hidden="false" customHeight="false" outlineLevel="0" collapsed="false">
      <c r="A25" s="10" t="s">
        <v>86</v>
      </c>
      <c r="B25" s="11" t="n">
        <f aca="false">Produktportfolio!F38</f>
        <v>452.543311803628</v>
      </c>
      <c r="C25" s="10" t="s">
        <v>50</v>
      </c>
      <c r="D25" s="10" t="s">
        <v>17</v>
      </c>
    </row>
    <row r="26" customFormat="false" ht="15" hidden="false" customHeight="false" outlineLevel="0" collapsed="false">
      <c r="A26" s="10" t="s">
        <v>87</v>
      </c>
      <c r="B26" s="12" t="n">
        <f aca="false">1-B25/B24</f>
        <v>0.0480968845481367</v>
      </c>
      <c r="C26" s="10" t="s">
        <v>66</v>
      </c>
      <c r="D26" s="10" t="s">
        <v>67</v>
      </c>
    </row>
    <row r="27" customFormat="false" ht="15" hidden="false" customHeight="false" outlineLevel="0" collapsed="false">
      <c r="A27" s="10" t="s">
        <v>88</v>
      </c>
      <c r="B27" s="11" t="n">
        <f aca="false">Produktportfolio!F42</f>
        <v>560.577176880456</v>
      </c>
      <c r="C27" s="10" t="s">
        <v>50</v>
      </c>
      <c r="D27" s="10" t="s">
        <v>17</v>
      </c>
    </row>
    <row r="28" customFormat="false" ht="15" hidden="false" customHeight="false" outlineLevel="0" collapsed="false">
      <c r="A28" s="10" t="s">
        <v>89</v>
      </c>
      <c r="B28" s="11" t="n">
        <f aca="false">Produktportfolio!F44</f>
        <v>475.755504335867</v>
      </c>
      <c r="C28" s="10" t="s">
        <v>50</v>
      </c>
      <c r="D28" s="10" t="s">
        <v>17</v>
      </c>
    </row>
    <row r="29" customFormat="false" ht="15" hidden="false" customHeight="false" outlineLevel="0" collapsed="false">
      <c r="A29" s="10" t="s">
        <v>90</v>
      </c>
      <c r="B29" s="12" t="n">
        <f aca="false">1-B28/B27</f>
        <v>0.151311319908903</v>
      </c>
      <c r="C29" s="10" t="s">
        <v>66</v>
      </c>
      <c r="D29" s="10" t="s">
        <v>67</v>
      </c>
    </row>
    <row r="30" customFormat="false" ht="15" hidden="false" customHeight="false" outlineLevel="0" collapsed="false">
      <c r="A30" s="9" t="s">
        <v>91</v>
      </c>
      <c r="B30" s="9"/>
      <c r="C30" s="9"/>
      <c r="D30" s="9"/>
    </row>
    <row r="31" customFormat="false" ht="15" hidden="false" customHeight="false" outlineLevel="0" collapsed="false">
      <c r="A31" s="10" t="s">
        <v>92</v>
      </c>
      <c r="B31" s="11" t="n">
        <f aca="false">Fertigungstiefe!D31</f>
        <v>401.512178470609</v>
      </c>
      <c r="C31" s="10" t="s">
        <v>50</v>
      </c>
      <c r="D31" s="10" t="s">
        <v>13</v>
      </c>
    </row>
    <row r="32" customFormat="false" ht="15" hidden="false" customHeight="false" outlineLevel="0" collapsed="false">
      <c r="A32" s="10" t="s">
        <v>93</v>
      </c>
      <c r="B32" s="11" t="n">
        <f aca="false">Fertigungstiefe!D38</f>
        <v>492.702382432588</v>
      </c>
      <c r="C32" s="10" t="s">
        <v>50</v>
      </c>
      <c r="D32" s="10" t="s">
        <v>13</v>
      </c>
    </row>
    <row r="33" customFormat="false" ht="15" hidden="false" customHeight="false" outlineLevel="0" collapsed="false">
      <c r="A33" s="10" t="s">
        <v>94</v>
      </c>
      <c r="B33" s="11" t="n">
        <f aca="false">Fertigungstiefe!D45</f>
        <v>586.920085189757</v>
      </c>
      <c r="C33" s="10" t="s">
        <v>50</v>
      </c>
      <c r="D33" s="10" t="s">
        <v>13</v>
      </c>
    </row>
    <row r="34" customFormat="false" ht="15" hidden="false" customHeight="false" outlineLevel="0" collapsed="false">
      <c r="A34" s="10" t="s">
        <v>95</v>
      </c>
      <c r="B34" s="12" t="n">
        <f aca="false">1-B31/B33</f>
        <v>0.315899747508561</v>
      </c>
      <c r="C34" s="10" t="s">
        <v>66</v>
      </c>
      <c r="D34" s="10" t="s">
        <v>67</v>
      </c>
    </row>
    <row r="35" customFormat="false" ht="15" hidden="false" customHeight="false" outlineLevel="0" collapsed="false">
      <c r="A35" s="10" t="s">
        <v>96</v>
      </c>
      <c r="B35" s="14" t="n">
        <f aca="false">Fertigungstiefe!F31</f>
        <v>0.888703703703704</v>
      </c>
      <c r="C35" s="10" t="s">
        <v>97</v>
      </c>
      <c r="D35" s="10" t="s">
        <v>13</v>
      </c>
    </row>
    <row r="36" customFormat="false" ht="15" hidden="false" customHeight="false" outlineLevel="0" collapsed="false">
      <c r="A36" s="10" t="s">
        <v>98</v>
      </c>
      <c r="B36" s="14" t="n">
        <f aca="false">Fertigungstiefe!F45</f>
        <v>0.361296296296296</v>
      </c>
      <c r="C36" s="10" t="s">
        <v>97</v>
      </c>
      <c r="D36" s="10" t="s">
        <v>13</v>
      </c>
    </row>
    <row r="37" customFormat="false" ht="15" hidden="false" customHeight="false" outlineLevel="0" collapsed="false">
      <c r="A37" s="9" t="s">
        <v>99</v>
      </c>
      <c r="B37" s="9"/>
      <c r="C37" s="9"/>
      <c r="D37" s="9"/>
    </row>
    <row r="38" customFormat="false" ht="15" hidden="false" customHeight="false" outlineLevel="0" collapsed="false">
      <c r="A38" s="10" t="s">
        <v>100</v>
      </c>
      <c r="B38" s="11" t="n">
        <f aca="false">'Fertigungstiefe Zulieferzeit'!C6</f>
        <v>401.512178470609</v>
      </c>
      <c r="C38" s="10" t="s">
        <v>50</v>
      </c>
      <c r="D38" s="10" t="s">
        <v>15</v>
      </c>
    </row>
    <row r="39" customFormat="false" ht="15" hidden="false" customHeight="false" outlineLevel="0" collapsed="false">
      <c r="A39" s="10" t="s">
        <v>101</v>
      </c>
      <c r="B39" s="11" t="n">
        <f aca="false">'Fertigungstiefe Zulieferzeit'!C7</f>
        <v>492.702382432588</v>
      </c>
      <c r="C39" s="10" t="s">
        <v>50</v>
      </c>
      <c r="D39" s="10" t="s">
        <v>15</v>
      </c>
    </row>
    <row r="40" customFormat="false" ht="15" hidden="false" customHeight="false" outlineLevel="0" collapsed="false">
      <c r="A40" s="10" t="s">
        <v>102</v>
      </c>
      <c r="B40" s="11" t="n">
        <f aca="false">'Fertigungstiefe Zulieferzeit'!C8</f>
        <v>586.920085189757</v>
      </c>
      <c r="C40" s="10" t="s">
        <v>50</v>
      </c>
      <c r="D40" s="10" t="s">
        <v>15</v>
      </c>
    </row>
    <row r="41" customFormat="false" ht="15" hidden="false" customHeight="false" outlineLevel="0" collapsed="false">
      <c r="A41" s="10" t="s">
        <v>103</v>
      </c>
      <c r="B41" s="11" t="n">
        <f aca="false">'Fertigungstiefe Zulieferzeit'!C18</f>
        <v>700.428316610882</v>
      </c>
      <c r="C41" s="10" t="s">
        <v>50</v>
      </c>
      <c r="D41" s="10" t="s">
        <v>15</v>
      </c>
    </row>
    <row r="42" customFormat="false" ht="15" hidden="false" customHeight="false" outlineLevel="0" collapsed="false">
      <c r="A42" s="10" t="s">
        <v>104</v>
      </c>
      <c r="B42" s="11" t="n">
        <f aca="false">'Fertigungstiefe Zulieferzeit'!C19</f>
        <v>721.912003462727</v>
      </c>
      <c r="C42" s="10" t="s">
        <v>50</v>
      </c>
      <c r="D42" s="10" t="s">
        <v>15</v>
      </c>
    </row>
    <row r="43" customFormat="false" ht="15" hidden="false" customHeight="false" outlineLevel="0" collapsed="false">
      <c r="A43" s="10" t="s">
        <v>105</v>
      </c>
      <c r="B43" s="11" t="n">
        <f aca="false">'Fertigungstiefe Zulieferzeit'!C20</f>
        <v>717.616078768231</v>
      </c>
      <c r="C43" s="10" t="s">
        <v>50</v>
      </c>
      <c r="D43" s="10" t="s">
        <v>15</v>
      </c>
    </row>
    <row r="44" customFormat="false" ht="15" hidden="false" customHeight="false" outlineLevel="0" collapsed="false">
      <c r="A44" s="10" t="s">
        <v>106</v>
      </c>
      <c r="B44" s="11" t="n">
        <f aca="false">'Fertigungstiefe Zulieferzeit'!C26</f>
        <v>1124.44922335917</v>
      </c>
      <c r="C44" s="10" t="s">
        <v>50</v>
      </c>
      <c r="D44" s="10" t="s">
        <v>15</v>
      </c>
    </row>
    <row r="45" customFormat="false" ht="15" hidden="false" customHeight="false" outlineLevel="0" collapsed="false">
      <c r="A45" s="10" t="s">
        <v>107</v>
      </c>
      <c r="B45" s="11" t="n">
        <f aca="false">'Fertigungstiefe Zulieferzeit'!C27</f>
        <v>1008.99070768061</v>
      </c>
      <c r="C45" s="10" t="s">
        <v>50</v>
      </c>
      <c r="D45" s="10" t="s">
        <v>15</v>
      </c>
    </row>
    <row r="46" customFormat="false" ht="15" hidden="false" customHeight="false" outlineLevel="0" collapsed="false">
      <c r="A46" s="10" t="s">
        <v>108</v>
      </c>
      <c r="B46" s="11" t="n">
        <f aca="false">'Fertigungstiefe Zulieferzeit'!C28</f>
        <v>911.027510023915</v>
      </c>
      <c r="C46" s="10" t="s">
        <v>50</v>
      </c>
      <c r="D46" s="10" t="s">
        <v>15</v>
      </c>
    </row>
    <row r="47" customFormat="false" ht="15" hidden="false" customHeight="false" outlineLevel="0" collapsed="false">
      <c r="A47" s="7"/>
      <c r="B47" s="7"/>
      <c r="C47" s="7"/>
      <c r="D47" s="7"/>
    </row>
    <row r="48" customFormat="false" ht="15" hidden="false" customHeight="false" outlineLevel="0" collapsed="false">
      <c r="A48" s="8" t="s">
        <v>109</v>
      </c>
      <c r="B48" s="7"/>
      <c r="C48" s="7"/>
      <c r="D48"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7"/>
    <col collapsed="false" customWidth="true" hidden="false" outlineLevel="0" max="4" min="4" style="0" width="18"/>
    <col collapsed="false" customWidth="true" hidden="false" outlineLevel="0" max="7" min="5" style="0" width="17"/>
    <col collapsed="false" customWidth="true" hidden="false" outlineLevel="0" max="8" min="8" style="0" width="34"/>
  </cols>
  <sheetData>
    <row r="1" customFormat="false" ht="15" hidden="false" customHeight="false" outlineLevel="0" collapsed="false">
      <c r="A1" s="15" t="s">
        <v>110</v>
      </c>
      <c r="B1" s="15"/>
      <c r="C1" s="15"/>
      <c r="D1" s="15"/>
      <c r="E1" s="15"/>
      <c r="F1" s="15"/>
      <c r="G1" s="15"/>
      <c r="H1" s="15"/>
    </row>
    <row r="2" customFormat="false" ht="30" hidden="false" customHeight="true" outlineLevel="0" collapsed="false">
      <c r="A2" s="16" t="s">
        <v>111</v>
      </c>
      <c r="B2" s="16"/>
      <c r="C2" s="16"/>
      <c r="D2" s="16"/>
      <c r="E2" s="16"/>
      <c r="F2" s="16"/>
      <c r="G2" s="16"/>
      <c r="H2" s="16"/>
    </row>
    <row r="3" customFormat="false" ht="15" hidden="false" customHeight="false" outlineLevel="0" collapsed="false">
      <c r="A3" s="7"/>
      <c r="B3" s="7"/>
      <c r="C3" s="7"/>
      <c r="D3" s="7"/>
      <c r="E3" s="7"/>
      <c r="F3" s="7"/>
      <c r="G3" s="7"/>
      <c r="H3" s="7"/>
    </row>
    <row r="4" customFormat="false" ht="31.5" hidden="false" customHeight="true" outlineLevel="0" collapsed="false">
      <c r="A4" s="2" t="s">
        <v>112</v>
      </c>
      <c r="B4" s="2" t="s">
        <v>113</v>
      </c>
      <c r="C4" s="2" t="s">
        <v>36</v>
      </c>
      <c r="D4" s="2" t="s">
        <v>114</v>
      </c>
      <c r="E4" s="2" t="s">
        <v>36</v>
      </c>
      <c r="F4" s="2" t="s">
        <v>115</v>
      </c>
      <c r="G4" s="2" t="s">
        <v>32</v>
      </c>
      <c r="H4" s="2" t="s">
        <v>116</v>
      </c>
    </row>
    <row r="5" customFormat="false" ht="15" hidden="false" customHeight="false" outlineLevel="0" collapsed="false">
      <c r="A5" s="9" t="s">
        <v>117</v>
      </c>
      <c r="B5" s="9"/>
      <c r="C5" s="9"/>
      <c r="D5" s="9"/>
      <c r="E5" s="9"/>
      <c r="F5" s="9"/>
      <c r="G5" s="9"/>
      <c r="H5" s="9"/>
    </row>
    <row r="6" customFormat="false" ht="15" hidden="false" customHeight="false" outlineLevel="0" collapsed="false">
      <c r="A6" s="10" t="s">
        <v>118</v>
      </c>
      <c r="B6" s="11" t="n">
        <v>607.479790009665</v>
      </c>
      <c r="C6" s="11" t="n">
        <v>8.78126586921019</v>
      </c>
      <c r="D6" s="13" t="n">
        <v>0.345729485644208</v>
      </c>
      <c r="E6" s="13" t="n">
        <v>0.0162052689227201</v>
      </c>
      <c r="F6" s="11" t="n">
        <v>191.383237162913</v>
      </c>
      <c r="G6" s="12" t="n">
        <v>0.743536188439066</v>
      </c>
      <c r="H6" s="12" t="n">
        <f aca="false">1-B6/B6</f>
        <v>0</v>
      </c>
    </row>
    <row r="7" customFormat="false" ht="15" hidden="false" customHeight="false" outlineLevel="0" collapsed="false">
      <c r="A7" s="10" t="s">
        <v>119</v>
      </c>
      <c r="B7" s="11" t="n">
        <v>548.703641369994</v>
      </c>
      <c r="C7" s="11" t="n">
        <v>5.04762220748595</v>
      </c>
      <c r="D7" s="13" t="n">
        <v>0.387015043049815</v>
      </c>
      <c r="E7" s="13" t="n">
        <v>0.0086912567003651</v>
      </c>
      <c r="F7" s="11" t="n">
        <v>170.733055849689</v>
      </c>
      <c r="G7" s="12" t="n">
        <v>0.826364810950809</v>
      </c>
      <c r="H7" s="12" t="n">
        <f aca="false">1-B7/B6</f>
        <v>0.0967540807221508</v>
      </c>
    </row>
    <row r="8" customFormat="false" ht="15" hidden="false" customHeight="false" outlineLevel="0" collapsed="false">
      <c r="A8" s="10" t="s">
        <v>120</v>
      </c>
      <c r="B8" s="11" t="n">
        <v>527.733298301615</v>
      </c>
      <c r="C8" s="11" t="n">
        <v>3.97627429823844</v>
      </c>
      <c r="D8" s="13" t="n">
        <v>0.389440783450473</v>
      </c>
      <c r="E8" s="13" t="n">
        <v>0.00762068316948389</v>
      </c>
      <c r="F8" s="11" t="n">
        <v>163.79197608754</v>
      </c>
      <c r="G8" s="12" t="n">
        <v>0.851631900131144</v>
      </c>
      <c r="H8" s="12" t="n">
        <f aca="false">1-B8/B6</f>
        <v>0.131274312363183</v>
      </c>
    </row>
    <row r="9" customFormat="false" ht="15" hidden="false" customHeight="false" outlineLevel="0" collapsed="false">
      <c r="A9" s="10" t="s">
        <v>121</v>
      </c>
      <c r="B9" s="11" t="n">
        <v>510.039544080004</v>
      </c>
      <c r="C9" s="11" t="n">
        <v>3.04022754400975</v>
      </c>
      <c r="D9" s="13" t="n">
        <v>0.39853304256907</v>
      </c>
      <c r="E9" s="13" t="n">
        <v>0.00756395497591826</v>
      </c>
      <c r="F9" s="11" t="n">
        <v>139.240167110618</v>
      </c>
      <c r="G9" s="12" t="n">
        <v>0.883843577325651</v>
      </c>
      <c r="H9" s="12" t="n">
        <f aca="false">1-B9/B6</f>
        <v>0.160400802680384</v>
      </c>
    </row>
    <row r="10" customFormat="false" ht="15" hidden="false" customHeight="false" outlineLevel="0" collapsed="false">
      <c r="A10" s="10" t="s">
        <v>122</v>
      </c>
      <c r="B10" s="11" t="n">
        <v>506.28693471685</v>
      </c>
      <c r="C10" s="11" t="n">
        <v>2.9176481995557</v>
      </c>
      <c r="D10" s="13" t="n">
        <v>0.407206642894889</v>
      </c>
      <c r="E10" s="13" t="n">
        <v>0.00754428039884737</v>
      </c>
      <c r="F10" s="11" t="n">
        <v>145.726086981455</v>
      </c>
      <c r="G10" s="12" t="n">
        <v>0.888582486190569</v>
      </c>
      <c r="H10" s="12" t="n">
        <f aca="false">1-B10/B6</f>
        <v>0.166578142939051</v>
      </c>
    </row>
    <row r="11" customFormat="false" ht="15" hidden="false" customHeight="false" outlineLevel="0" collapsed="false">
      <c r="A11" s="10" t="s">
        <v>123</v>
      </c>
      <c r="B11" s="11" t="n">
        <v>495.904616469365</v>
      </c>
      <c r="C11" s="11" t="n">
        <v>3.50237034905934</v>
      </c>
      <c r="D11" s="13" t="n">
        <v>0.407216054242557</v>
      </c>
      <c r="E11" s="13" t="n">
        <v>0.00931980187456501</v>
      </c>
      <c r="F11" s="11" t="n">
        <v>132.221296322001</v>
      </c>
      <c r="G11" s="12" t="n">
        <v>0.903637421769958</v>
      </c>
      <c r="H11" s="12" t="n">
        <f aca="false">1-B11/B6</f>
        <v>0.183668947305268</v>
      </c>
    </row>
    <row r="12" customFormat="false" ht="15" hidden="false" customHeight="false" outlineLevel="0" collapsed="false">
      <c r="A12" s="10" t="s">
        <v>124</v>
      </c>
      <c r="B12" s="11" t="n">
        <v>491.871267198089</v>
      </c>
      <c r="C12" s="11" t="n">
        <v>4.01338830410932</v>
      </c>
      <c r="D12" s="13" t="n">
        <v>0.40561848949758</v>
      </c>
      <c r="E12" s="13" t="n">
        <v>0.00905751876959231</v>
      </c>
      <c r="F12" s="11" t="n">
        <v>130.027120365602</v>
      </c>
      <c r="G12" s="12" t="n">
        <v>0.91520560916109</v>
      </c>
      <c r="H12" s="12" t="n">
        <f aca="false">1-B12/B6</f>
        <v>0.190308426243672</v>
      </c>
    </row>
    <row r="13" customFormat="false" ht="15" hidden="false" customHeight="false" outlineLevel="0" collapsed="false">
      <c r="A13" s="9" t="s">
        <v>125</v>
      </c>
      <c r="B13" s="9"/>
      <c r="C13" s="9"/>
      <c r="D13" s="9"/>
      <c r="E13" s="9"/>
      <c r="F13" s="9"/>
      <c r="G13" s="9"/>
      <c r="H13" s="9"/>
    </row>
    <row r="14" customFormat="false" ht="15" hidden="false" customHeight="false" outlineLevel="0" collapsed="false">
      <c r="A14" s="10" t="s">
        <v>118</v>
      </c>
      <c r="B14" s="11" t="n">
        <v>602.736994088739</v>
      </c>
      <c r="C14" s="11" t="n">
        <v>7.18507456610539</v>
      </c>
      <c r="D14" s="13" t="n">
        <v>0.357285863327213</v>
      </c>
      <c r="E14" s="13" t="n">
        <v>0.0137607071734158</v>
      </c>
      <c r="F14" s="11" t="n">
        <v>159.422152999868</v>
      </c>
      <c r="G14" s="12" t="n">
        <v>0.372136630452122</v>
      </c>
      <c r="H14" s="12" t="n">
        <f aca="false">1-B14/B14</f>
        <v>0</v>
      </c>
    </row>
    <row r="15" customFormat="false" ht="15" hidden="false" customHeight="false" outlineLevel="0" collapsed="false">
      <c r="A15" s="10" t="s">
        <v>119</v>
      </c>
      <c r="B15" s="11" t="n">
        <v>549.58108531518</v>
      </c>
      <c r="C15" s="11" t="n">
        <v>5.73092252053338</v>
      </c>
      <c r="D15" s="13" t="n">
        <v>0.36949016333028</v>
      </c>
      <c r="E15" s="13" t="n">
        <v>0.0106643753708057</v>
      </c>
      <c r="F15" s="11" t="n">
        <v>134.996234814734</v>
      </c>
      <c r="G15" s="12" t="n">
        <v>0.408679264901541</v>
      </c>
      <c r="H15" s="12" t="n">
        <f aca="false">1-B15/B14</f>
        <v>0.0881908847389137</v>
      </c>
    </row>
    <row r="16" customFormat="false" ht="15" hidden="false" customHeight="false" outlineLevel="0" collapsed="false">
      <c r="A16" s="10" t="s">
        <v>120</v>
      </c>
      <c r="B16" s="11" t="n">
        <v>522.154228184338</v>
      </c>
      <c r="C16" s="11" t="n">
        <v>3.16633127459593</v>
      </c>
      <c r="D16" s="13" t="n">
        <v>0.395270247328259</v>
      </c>
      <c r="E16" s="13" t="n">
        <v>0.010195277120897</v>
      </c>
      <c r="F16" s="11" t="n">
        <v>136.044911736754</v>
      </c>
      <c r="G16" s="12" t="n">
        <v>0.430689458375256</v>
      </c>
      <c r="H16" s="12" t="n">
        <f aca="false">1-B16/B14</f>
        <v>0.133694740317428</v>
      </c>
    </row>
    <row r="17" customFormat="false" ht="15" hidden="false" customHeight="false" outlineLevel="0" collapsed="false">
      <c r="A17" s="10" t="s">
        <v>121</v>
      </c>
      <c r="B17" s="11" t="n">
        <v>488.921824613621</v>
      </c>
      <c r="C17" s="11" t="n">
        <v>3.20279407654964</v>
      </c>
      <c r="D17" s="13" t="n">
        <v>0.430345999906508</v>
      </c>
      <c r="E17" s="13" t="n">
        <v>0.0118510277963069</v>
      </c>
      <c r="F17" s="11" t="n">
        <v>128.545984374862</v>
      </c>
      <c r="G17" s="12" t="n">
        <v>0.458826329052121</v>
      </c>
      <c r="H17" s="12" t="n">
        <f aca="false">1-B17/B14</f>
        <v>0.188830568873896</v>
      </c>
    </row>
    <row r="18" customFormat="false" ht="15" hidden="false" customHeight="false" outlineLevel="0" collapsed="false">
      <c r="A18" s="10" t="s">
        <v>122</v>
      </c>
      <c r="B18" s="11" t="n">
        <v>484.209249913607</v>
      </c>
      <c r="C18" s="11" t="n">
        <v>3.35369267894077</v>
      </c>
      <c r="D18" s="13" t="n">
        <v>0.426466050527144</v>
      </c>
      <c r="E18" s="13" t="n">
        <v>0.0135634154757823</v>
      </c>
      <c r="F18" s="11" t="n">
        <v>122.47239274799</v>
      </c>
      <c r="G18" s="12" t="n">
        <v>0.461746098644538</v>
      </c>
      <c r="H18" s="12" t="n">
        <f aca="false">1-B18/B14</f>
        <v>0.19664919415529</v>
      </c>
    </row>
    <row r="19" customFormat="false" ht="15" hidden="false" customHeight="false" outlineLevel="0" collapsed="false">
      <c r="A19" s="10" t="s">
        <v>123</v>
      </c>
      <c r="B19" s="11" t="n">
        <v>452.329931455305</v>
      </c>
      <c r="C19" s="11" t="n">
        <v>3.45564262759827</v>
      </c>
      <c r="D19" s="13" t="n">
        <v>0.452143700611901</v>
      </c>
      <c r="E19" s="13" t="n">
        <v>0.011657517950791</v>
      </c>
      <c r="F19" s="11" t="n">
        <v>108.033603725889</v>
      </c>
      <c r="G19" s="12" t="n">
        <v>0.495776680884516</v>
      </c>
      <c r="H19" s="12" t="n">
        <f aca="false">1-B19/B14</f>
        <v>0.249540121327429</v>
      </c>
    </row>
    <row r="20" customFormat="false" ht="15" hidden="false" customHeight="false" outlineLevel="0" collapsed="false">
      <c r="A20" s="10" t="s">
        <v>124</v>
      </c>
      <c r="B20" s="11" t="n">
        <v>428.24397864527</v>
      </c>
      <c r="C20" s="11" t="n">
        <v>4.70487447064016</v>
      </c>
      <c r="D20" s="13" t="n">
        <v>0.46166976781834</v>
      </c>
      <c r="E20" s="13" t="n">
        <v>0.0158281452350274</v>
      </c>
      <c r="F20" s="11" t="n">
        <v>89.0185299772184</v>
      </c>
      <c r="G20" s="12" t="n">
        <v>0.524238359288439</v>
      </c>
      <c r="H20" s="12" t="n">
        <f aca="false">1-B20/B14</f>
        <v>0.289501087795815</v>
      </c>
    </row>
    <row r="21" customFormat="false" ht="15" hidden="false" customHeight="false" outlineLevel="0" collapsed="false">
      <c r="A21" s="9" t="s">
        <v>126</v>
      </c>
      <c r="B21" s="9"/>
      <c r="C21" s="9"/>
      <c r="D21" s="9"/>
      <c r="E21" s="9"/>
      <c r="F21" s="9"/>
      <c r="G21" s="9"/>
      <c r="H21" s="9"/>
    </row>
    <row r="22" customFormat="false" ht="15" hidden="false" customHeight="false" outlineLevel="0" collapsed="false">
      <c r="A22" s="10" t="s">
        <v>118</v>
      </c>
      <c r="B22" s="11" t="n">
        <v>605.565515329861</v>
      </c>
      <c r="C22" s="11" t="n">
        <v>7.61686904037159</v>
      </c>
      <c r="D22" s="13" t="n">
        <v>0.336972835383698</v>
      </c>
      <c r="E22" s="13" t="n">
        <v>0.0136075935296348</v>
      </c>
      <c r="F22" s="11" t="n">
        <v>152.837708702385</v>
      </c>
      <c r="G22" s="12" t="n">
        <v>0.247262245978974</v>
      </c>
      <c r="H22" s="12" t="n">
        <f aca="false">1-B22/B22</f>
        <v>0</v>
      </c>
    </row>
    <row r="23" customFormat="false" ht="15" hidden="false" customHeight="false" outlineLevel="0" collapsed="false">
      <c r="A23" s="10" t="s">
        <v>119</v>
      </c>
      <c r="B23" s="11" t="n">
        <v>550.257112201459</v>
      </c>
      <c r="C23" s="11" t="n">
        <v>4.99553333062683</v>
      </c>
      <c r="D23" s="13" t="n">
        <v>0.37691611640387</v>
      </c>
      <c r="E23" s="13" t="n">
        <v>0.0131755628341111</v>
      </c>
      <c r="F23" s="11" t="n">
        <v>140.867515526914</v>
      </c>
      <c r="G23" s="12" t="n">
        <v>0.271562074940327</v>
      </c>
      <c r="H23" s="12" t="n">
        <f aca="false">1-B23/B22</f>
        <v>0.0913334754510834</v>
      </c>
    </row>
    <row r="24" customFormat="false" ht="15" hidden="false" customHeight="false" outlineLevel="0" collapsed="false">
      <c r="A24" s="10" t="s">
        <v>120</v>
      </c>
      <c r="B24" s="11" t="n">
        <v>522.209833847551</v>
      </c>
      <c r="C24" s="11" t="n">
        <v>5.02736461450364</v>
      </c>
      <c r="D24" s="13" t="n">
        <v>0.389850451857593</v>
      </c>
      <c r="E24" s="13" t="n">
        <v>0.0121688339564977</v>
      </c>
      <c r="F24" s="11" t="n">
        <v>130.875151795764</v>
      </c>
      <c r="G24" s="12" t="n">
        <v>0.288502255620868</v>
      </c>
      <c r="H24" s="12" t="n">
        <f aca="false">1-B24/B22</f>
        <v>0.137649320134924</v>
      </c>
    </row>
    <row r="25" customFormat="false" ht="15" hidden="false" customHeight="false" outlineLevel="0" collapsed="false">
      <c r="A25" s="17" t="s">
        <v>121</v>
      </c>
      <c r="B25" s="18" t="n">
        <v>492.702382432588</v>
      </c>
      <c r="C25" s="18" t="n">
        <v>3.47327066104315</v>
      </c>
      <c r="D25" s="19" t="n">
        <v>0.419181337851605</v>
      </c>
      <c r="E25" s="19" t="n">
        <v>0.00853406089145797</v>
      </c>
      <c r="F25" s="18" t="n">
        <v>128.11763797983</v>
      </c>
      <c r="G25" s="20" t="n">
        <v>0.303475984712156</v>
      </c>
      <c r="H25" s="20" t="n">
        <f aca="false">1-B25/B22</f>
        <v>0.186376420123254</v>
      </c>
    </row>
    <row r="26" customFormat="false" ht="15" hidden="false" customHeight="false" outlineLevel="0" collapsed="false">
      <c r="A26" s="10" t="s">
        <v>122</v>
      </c>
      <c r="B26" s="11" t="n">
        <v>484.089378814206</v>
      </c>
      <c r="C26" s="11" t="n">
        <v>3.23930700873902</v>
      </c>
      <c r="D26" s="13" t="n">
        <v>0.425700687706463</v>
      </c>
      <c r="E26" s="13" t="n">
        <v>0.0101859796027437</v>
      </c>
      <c r="F26" s="11" t="n">
        <v>122.036935539688</v>
      </c>
      <c r="G26" s="12" t="n">
        <v>0.309950533849947</v>
      </c>
      <c r="H26" s="12" t="n">
        <f aca="false">1-B26/B22</f>
        <v>0.2005994949192</v>
      </c>
    </row>
    <row r="27" customFormat="false" ht="15" hidden="false" customHeight="false" outlineLevel="0" collapsed="false">
      <c r="A27" s="10" t="s">
        <v>123</v>
      </c>
      <c r="B27" s="11" t="n">
        <v>450.564672662552</v>
      </c>
      <c r="C27" s="11" t="n">
        <v>3.89334513910219</v>
      </c>
      <c r="D27" s="13" t="n">
        <v>0.447163486893387</v>
      </c>
      <c r="E27" s="13" t="n">
        <v>0.0124200469712967</v>
      </c>
      <c r="F27" s="11" t="n">
        <v>103.856567334388</v>
      </c>
      <c r="G27" s="12" t="n">
        <v>0.333828996011058</v>
      </c>
      <c r="H27" s="12" t="n">
        <f aca="false">1-B27/B22</f>
        <v>0.255960484445482</v>
      </c>
    </row>
    <row r="28" customFormat="false" ht="15" hidden="false" customHeight="false" outlineLevel="0" collapsed="false">
      <c r="A28" s="10" t="s">
        <v>124</v>
      </c>
      <c r="B28" s="11" t="n">
        <v>430.815691868391</v>
      </c>
      <c r="C28" s="11" t="n">
        <v>3.81003195739331</v>
      </c>
      <c r="D28" s="13" t="n">
        <v>0.462313695606557</v>
      </c>
      <c r="E28" s="13" t="n">
        <v>0.0132393505086744</v>
      </c>
      <c r="F28" s="11" t="n">
        <v>85.5166242047162</v>
      </c>
      <c r="G28" s="12" t="n">
        <v>0.347964667021008</v>
      </c>
      <c r="H28" s="12" t="n">
        <f aca="false">1-B28/B22</f>
        <v>0.288572943864351</v>
      </c>
    </row>
    <row r="29" customFormat="false" ht="15" hidden="false" customHeight="false" outlineLevel="0" collapsed="false">
      <c r="A29" s="7"/>
      <c r="B29" s="7"/>
      <c r="C29" s="7"/>
      <c r="D29" s="7"/>
      <c r="E29" s="7"/>
      <c r="F29" s="7"/>
      <c r="G29" s="7"/>
      <c r="H29" s="7"/>
    </row>
    <row r="30" customFormat="false" ht="15" hidden="false" customHeight="false" outlineLevel="0" collapsed="false">
      <c r="A30" s="8" t="s">
        <v>127</v>
      </c>
      <c r="B30" s="7"/>
      <c r="C30" s="7"/>
      <c r="D30" s="7"/>
      <c r="E30" s="7"/>
      <c r="F30" s="7"/>
      <c r="G30" s="7"/>
      <c r="H30" s="7"/>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5" min="3" style="0" width="17"/>
    <col collapsed="false" customWidth="true" hidden="false" outlineLevel="0" max="6" min="6" style="0" width="15"/>
    <col collapsed="false" customWidth="true" hidden="false" outlineLevel="0" max="7" min="7" style="0" width="18"/>
    <col collapsed="false" customWidth="true" hidden="false" outlineLevel="0" max="8" min="8" style="0" width="17"/>
    <col collapsed="false" customWidth="true" hidden="false" outlineLevel="0" max="9" min="9" style="0" width="18"/>
  </cols>
  <sheetData>
    <row r="1" customFormat="false" ht="15" hidden="false" customHeight="false" outlineLevel="0" collapsed="false">
      <c r="A1" s="15" t="s">
        <v>128</v>
      </c>
      <c r="B1" s="15"/>
      <c r="C1" s="15"/>
      <c r="D1" s="15"/>
      <c r="E1" s="15"/>
      <c r="F1" s="15"/>
      <c r="G1" s="15"/>
      <c r="H1" s="15"/>
      <c r="I1" s="15"/>
    </row>
    <row r="2" customFormat="false" ht="30" hidden="false" customHeight="true" outlineLevel="0" collapsed="false">
      <c r="A2" s="16" t="s">
        <v>129</v>
      </c>
      <c r="B2" s="16"/>
      <c r="C2" s="16"/>
      <c r="D2" s="16"/>
      <c r="E2" s="16"/>
      <c r="F2" s="16"/>
      <c r="G2" s="16"/>
      <c r="H2" s="16"/>
      <c r="I2" s="16"/>
    </row>
    <row r="3" customFormat="false" ht="15" hidden="false" customHeight="false" outlineLevel="0" collapsed="false">
      <c r="A3" s="7"/>
      <c r="B3" s="7"/>
      <c r="C3" s="7"/>
      <c r="D3" s="7"/>
      <c r="E3" s="7"/>
      <c r="F3" s="7"/>
      <c r="G3" s="7"/>
      <c r="H3" s="7"/>
      <c r="I3" s="7"/>
    </row>
    <row r="4" customFormat="false" ht="31.5" hidden="false" customHeight="true" outlineLevel="0" collapsed="false">
      <c r="A4" s="2" t="s">
        <v>112</v>
      </c>
      <c r="B4" s="2" t="s">
        <v>130</v>
      </c>
      <c r="C4" s="2" t="s">
        <v>11</v>
      </c>
      <c r="D4" s="2" t="s">
        <v>45</v>
      </c>
      <c r="E4" s="2" t="s">
        <v>131</v>
      </c>
      <c r="F4" s="2" t="s">
        <v>47</v>
      </c>
      <c r="G4" s="2" t="s">
        <v>113</v>
      </c>
      <c r="H4" s="2" t="s">
        <v>36</v>
      </c>
      <c r="I4" s="2" t="s">
        <v>114</v>
      </c>
    </row>
    <row r="5" customFormat="false" ht="15" hidden="false" customHeight="false" outlineLevel="0" collapsed="false">
      <c r="A5" s="10" t="s">
        <v>118</v>
      </c>
      <c r="B5" s="10" t="n">
        <v>1</v>
      </c>
      <c r="C5" s="10" t="s">
        <v>132</v>
      </c>
      <c r="D5" s="14" t="n">
        <v>0.3</v>
      </c>
      <c r="E5" s="10" t="s">
        <v>132</v>
      </c>
      <c r="F5" s="14" t="n">
        <v>1</v>
      </c>
      <c r="G5" s="11" t="n">
        <v>732.808081372605</v>
      </c>
      <c r="H5" s="11" t="n">
        <v>7.34695905603168</v>
      </c>
      <c r="I5" s="13" t="n">
        <v>0.290177048183006</v>
      </c>
    </row>
    <row r="6" customFormat="false" ht="15" hidden="false" customHeight="false" outlineLevel="0" collapsed="false">
      <c r="A6" s="10" t="s">
        <v>118</v>
      </c>
      <c r="B6" s="10" t="n">
        <v>1</v>
      </c>
      <c r="C6" s="10" t="s">
        <v>132</v>
      </c>
      <c r="D6" s="14" t="n">
        <v>0.3</v>
      </c>
      <c r="E6" s="10" t="s">
        <v>133</v>
      </c>
      <c r="F6" s="14" t="n">
        <v>0.8</v>
      </c>
      <c r="G6" s="11" t="n">
        <v>643.805253914166</v>
      </c>
      <c r="H6" s="11" t="n">
        <v>5.67702958389646</v>
      </c>
      <c r="I6" s="13" t="n">
        <v>0.317325124417055</v>
      </c>
    </row>
    <row r="7" customFormat="false" ht="15" hidden="false" customHeight="false" outlineLevel="0" collapsed="false">
      <c r="A7" s="10" t="s">
        <v>118</v>
      </c>
      <c r="B7" s="10" t="n">
        <v>1</v>
      </c>
      <c r="C7" s="10" t="s">
        <v>132</v>
      </c>
      <c r="D7" s="14" t="n">
        <v>0.3</v>
      </c>
      <c r="E7" s="10" t="s">
        <v>134</v>
      </c>
      <c r="F7" s="14" t="n">
        <v>0.6</v>
      </c>
      <c r="G7" s="11" t="n">
        <v>555.705119170616</v>
      </c>
      <c r="H7" s="11" t="n">
        <v>5.67760475217923</v>
      </c>
      <c r="I7" s="13" t="n">
        <v>0.370711207847337</v>
      </c>
    </row>
    <row r="8" customFormat="false" ht="15" hidden="false" customHeight="false" outlineLevel="0" collapsed="false">
      <c r="A8" s="10" t="s">
        <v>118</v>
      </c>
      <c r="B8" s="10" t="n">
        <v>1</v>
      </c>
      <c r="C8" s="10" t="s">
        <v>133</v>
      </c>
      <c r="D8" s="14" t="n">
        <v>0.2</v>
      </c>
      <c r="E8" s="10" t="s">
        <v>132</v>
      </c>
      <c r="F8" s="14" t="n">
        <v>1</v>
      </c>
      <c r="G8" s="11" t="n">
        <v>701.220938124746</v>
      </c>
      <c r="H8" s="11" t="n">
        <v>7.24484430416462</v>
      </c>
      <c r="I8" s="13" t="n">
        <v>0.298598491618566</v>
      </c>
    </row>
    <row r="9" customFormat="false" ht="15" hidden="false" customHeight="false" outlineLevel="0" collapsed="false">
      <c r="A9" s="10" t="s">
        <v>118</v>
      </c>
      <c r="B9" s="10" t="n">
        <v>1</v>
      </c>
      <c r="C9" s="10" t="s">
        <v>133</v>
      </c>
      <c r="D9" s="14" t="n">
        <v>0.2</v>
      </c>
      <c r="E9" s="10" t="s">
        <v>133</v>
      </c>
      <c r="F9" s="14" t="n">
        <v>0.8</v>
      </c>
      <c r="G9" s="11" t="n">
        <v>607.479790009665</v>
      </c>
      <c r="H9" s="11" t="n">
        <v>8.78126586921019</v>
      </c>
      <c r="I9" s="13" t="n">
        <v>0.345729485644208</v>
      </c>
    </row>
    <row r="10" customFormat="false" ht="15" hidden="false" customHeight="false" outlineLevel="0" collapsed="false">
      <c r="A10" s="10" t="s">
        <v>118</v>
      </c>
      <c r="B10" s="10" t="n">
        <v>1</v>
      </c>
      <c r="C10" s="10" t="s">
        <v>133</v>
      </c>
      <c r="D10" s="14" t="n">
        <v>0.2</v>
      </c>
      <c r="E10" s="10" t="s">
        <v>134</v>
      </c>
      <c r="F10" s="14" t="n">
        <v>0.6</v>
      </c>
      <c r="G10" s="11" t="n">
        <v>522.270346064958</v>
      </c>
      <c r="H10" s="11" t="n">
        <v>5.76008050887859</v>
      </c>
      <c r="I10" s="13" t="n">
        <v>0.393718367654026</v>
      </c>
    </row>
    <row r="11" customFormat="false" ht="15" hidden="false" customHeight="false" outlineLevel="0" collapsed="false">
      <c r="A11" s="10" t="s">
        <v>118</v>
      </c>
      <c r="B11" s="10" t="n">
        <v>1</v>
      </c>
      <c r="C11" s="10" t="s">
        <v>134</v>
      </c>
      <c r="D11" s="14" t="n">
        <v>0.1</v>
      </c>
      <c r="E11" s="10" t="s">
        <v>132</v>
      </c>
      <c r="F11" s="14" t="n">
        <v>1</v>
      </c>
      <c r="G11" s="11" t="n">
        <v>672.778092773212</v>
      </c>
      <c r="H11" s="11" t="n">
        <v>9.07894833724362</v>
      </c>
      <c r="I11" s="13" t="n">
        <v>0.317711014229083</v>
      </c>
    </row>
    <row r="12" customFormat="false" ht="15" hidden="false" customHeight="false" outlineLevel="0" collapsed="false">
      <c r="A12" s="10" t="s">
        <v>118</v>
      </c>
      <c r="B12" s="10" t="n">
        <v>1</v>
      </c>
      <c r="C12" s="10" t="s">
        <v>134</v>
      </c>
      <c r="D12" s="14" t="n">
        <v>0.1</v>
      </c>
      <c r="E12" s="10" t="s">
        <v>133</v>
      </c>
      <c r="F12" s="14" t="n">
        <v>0.8</v>
      </c>
      <c r="G12" s="11" t="n">
        <v>579.12657542363</v>
      </c>
      <c r="H12" s="11" t="n">
        <v>8.01372834169462</v>
      </c>
      <c r="I12" s="13" t="n">
        <v>0.367131178204407</v>
      </c>
    </row>
    <row r="13" customFormat="false" ht="15" hidden="false" customHeight="false" outlineLevel="0" collapsed="false">
      <c r="A13" s="10" t="s">
        <v>118</v>
      </c>
      <c r="B13" s="10" t="n">
        <v>1</v>
      </c>
      <c r="C13" s="10" t="s">
        <v>134</v>
      </c>
      <c r="D13" s="14" t="n">
        <v>0.1</v>
      </c>
      <c r="E13" s="10" t="s">
        <v>134</v>
      </c>
      <c r="F13" s="14" t="n">
        <v>0.6</v>
      </c>
      <c r="G13" s="11" t="n">
        <v>511.493927444523</v>
      </c>
      <c r="H13" s="11" t="n">
        <v>4.6110024195226</v>
      </c>
      <c r="I13" s="13" t="n">
        <v>0.399989848094879</v>
      </c>
    </row>
    <row r="14" customFormat="false" ht="15" hidden="false" customHeight="false" outlineLevel="0" collapsed="false">
      <c r="A14" s="10" t="s">
        <v>118</v>
      </c>
      <c r="B14" s="10" t="n">
        <v>3</v>
      </c>
      <c r="C14" s="10" t="s">
        <v>132</v>
      </c>
      <c r="D14" s="14" t="n">
        <v>0.3</v>
      </c>
      <c r="E14" s="10" t="s">
        <v>132</v>
      </c>
      <c r="F14" s="14" t="n">
        <v>1</v>
      </c>
      <c r="G14" s="11" t="n">
        <v>731.729598326597</v>
      </c>
      <c r="H14" s="11" t="n">
        <v>6.3089143800208</v>
      </c>
      <c r="I14" s="13" t="n">
        <v>0.284130465930861</v>
      </c>
    </row>
    <row r="15" customFormat="false" ht="15" hidden="false" customHeight="false" outlineLevel="0" collapsed="false">
      <c r="A15" s="10" t="s">
        <v>118</v>
      </c>
      <c r="B15" s="10" t="n">
        <v>3</v>
      </c>
      <c r="C15" s="10" t="s">
        <v>132</v>
      </c>
      <c r="D15" s="14" t="n">
        <v>0.3</v>
      </c>
      <c r="E15" s="10" t="s">
        <v>133</v>
      </c>
      <c r="F15" s="14" t="n">
        <v>0.8</v>
      </c>
      <c r="G15" s="11" t="n">
        <v>640.589529373718</v>
      </c>
      <c r="H15" s="11" t="n">
        <v>7.14103785214179</v>
      </c>
      <c r="I15" s="13" t="n">
        <v>0.331238257846031</v>
      </c>
    </row>
    <row r="16" customFormat="false" ht="15" hidden="false" customHeight="false" outlineLevel="0" collapsed="false">
      <c r="A16" s="10" t="s">
        <v>118</v>
      </c>
      <c r="B16" s="10" t="n">
        <v>3</v>
      </c>
      <c r="C16" s="10" t="s">
        <v>132</v>
      </c>
      <c r="D16" s="14" t="n">
        <v>0.3</v>
      </c>
      <c r="E16" s="10" t="s">
        <v>134</v>
      </c>
      <c r="F16" s="14" t="n">
        <v>0.6</v>
      </c>
      <c r="G16" s="11" t="n">
        <v>555.776347781683</v>
      </c>
      <c r="H16" s="11" t="n">
        <v>8.06395234974561</v>
      </c>
      <c r="I16" s="13" t="n">
        <v>0.38140016259136</v>
      </c>
    </row>
    <row r="17" customFormat="false" ht="15" hidden="false" customHeight="false" outlineLevel="0" collapsed="false">
      <c r="A17" s="10" t="s">
        <v>118</v>
      </c>
      <c r="B17" s="10" t="n">
        <v>3</v>
      </c>
      <c r="C17" s="10" t="s">
        <v>133</v>
      </c>
      <c r="D17" s="14" t="n">
        <v>0.2</v>
      </c>
      <c r="E17" s="10" t="s">
        <v>132</v>
      </c>
      <c r="F17" s="14" t="n">
        <v>1</v>
      </c>
      <c r="G17" s="11" t="n">
        <v>691.00257237825</v>
      </c>
      <c r="H17" s="11" t="n">
        <v>7.46499266235696</v>
      </c>
      <c r="I17" s="13" t="n">
        <v>0.297305426852931</v>
      </c>
    </row>
    <row r="18" customFormat="false" ht="15" hidden="false" customHeight="false" outlineLevel="0" collapsed="false">
      <c r="A18" s="10" t="s">
        <v>118</v>
      </c>
      <c r="B18" s="10" t="n">
        <v>3</v>
      </c>
      <c r="C18" s="10" t="s">
        <v>133</v>
      </c>
      <c r="D18" s="14" t="n">
        <v>0.2</v>
      </c>
      <c r="E18" s="10" t="s">
        <v>133</v>
      </c>
      <c r="F18" s="14" t="n">
        <v>0.8</v>
      </c>
      <c r="G18" s="11" t="n">
        <v>605.565515329861</v>
      </c>
      <c r="H18" s="11" t="n">
        <v>7.61686904037159</v>
      </c>
      <c r="I18" s="13" t="n">
        <v>0.336972835383698</v>
      </c>
    </row>
    <row r="19" customFormat="false" ht="15" hidden="false" customHeight="false" outlineLevel="0" collapsed="false">
      <c r="A19" s="10" t="s">
        <v>118</v>
      </c>
      <c r="B19" s="10" t="n">
        <v>3</v>
      </c>
      <c r="C19" s="10" t="s">
        <v>133</v>
      </c>
      <c r="D19" s="14" t="n">
        <v>0.2</v>
      </c>
      <c r="E19" s="10" t="s">
        <v>134</v>
      </c>
      <c r="F19" s="14" t="n">
        <v>0.6</v>
      </c>
      <c r="G19" s="11" t="n">
        <v>506.812738382142</v>
      </c>
      <c r="H19" s="11" t="n">
        <v>6.32594740791459</v>
      </c>
      <c r="I19" s="13" t="n">
        <v>0.409858875221423</v>
      </c>
    </row>
    <row r="20" customFormat="false" ht="15" hidden="false" customHeight="false" outlineLevel="0" collapsed="false">
      <c r="A20" s="10" t="s">
        <v>118</v>
      </c>
      <c r="B20" s="10" t="n">
        <v>3</v>
      </c>
      <c r="C20" s="10" t="s">
        <v>134</v>
      </c>
      <c r="D20" s="14" t="n">
        <v>0.1</v>
      </c>
      <c r="E20" s="10" t="s">
        <v>132</v>
      </c>
      <c r="F20" s="14" t="n">
        <v>1</v>
      </c>
      <c r="G20" s="11" t="n">
        <v>670.76952549545</v>
      </c>
      <c r="H20" s="11" t="n">
        <v>8.50540411671452</v>
      </c>
      <c r="I20" s="13" t="n">
        <v>0.307514268119166</v>
      </c>
    </row>
    <row r="21" customFormat="false" ht="15" hidden="false" customHeight="false" outlineLevel="0" collapsed="false">
      <c r="A21" s="10" t="s">
        <v>118</v>
      </c>
      <c r="B21" s="10" t="n">
        <v>3</v>
      </c>
      <c r="C21" s="10" t="s">
        <v>134</v>
      </c>
      <c r="D21" s="14" t="n">
        <v>0.1</v>
      </c>
      <c r="E21" s="10" t="s">
        <v>133</v>
      </c>
      <c r="F21" s="14" t="n">
        <v>0.8</v>
      </c>
      <c r="G21" s="11" t="n">
        <v>575.294880053558</v>
      </c>
      <c r="H21" s="11" t="n">
        <v>7.72315183020481</v>
      </c>
      <c r="I21" s="13" t="n">
        <v>0.344072836766065</v>
      </c>
    </row>
    <row r="22" customFormat="false" ht="15" hidden="false" customHeight="false" outlineLevel="0" collapsed="false">
      <c r="A22" s="10" t="s">
        <v>118</v>
      </c>
      <c r="B22" s="10" t="n">
        <v>3</v>
      </c>
      <c r="C22" s="10" t="s">
        <v>134</v>
      </c>
      <c r="D22" s="14" t="n">
        <v>0.1</v>
      </c>
      <c r="E22" s="10" t="s">
        <v>134</v>
      </c>
      <c r="F22" s="14" t="n">
        <v>0.6</v>
      </c>
      <c r="G22" s="11" t="n">
        <v>477.445193746379</v>
      </c>
      <c r="H22" s="11" t="n">
        <v>6.86894420044902</v>
      </c>
      <c r="I22" s="13" t="n">
        <v>0.430214893048924</v>
      </c>
    </row>
    <row r="23" customFormat="false" ht="15" hidden="false" customHeight="false" outlineLevel="0" collapsed="false">
      <c r="A23" s="10" t="s">
        <v>121</v>
      </c>
      <c r="B23" s="10" t="n">
        <v>1</v>
      </c>
      <c r="C23" s="10" t="s">
        <v>132</v>
      </c>
      <c r="D23" s="14" t="n">
        <v>0.3</v>
      </c>
      <c r="E23" s="10" t="s">
        <v>132</v>
      </c>
      <c r="F23" s="14" t="n">
        <v>1</v>
      </c>
      <c r="G23" s="11" t="n">
        <v>622.721968974742</v>
      </c>
      <c r="H23" s="11" t="n">
        <v>3.79170454328888</v>
      </c>
      <c r="I23" s="13" t="n">
        <v>0.332521025893837</v>
      </c>
    </row>
    <row r="24" customFormat="false" ht="15" hidden="false" customHeight="false" outlineLevel="0" collapsed="false">
      <c r="A24" s="10" t="s">
        <v>121</v>
      </c>
      <c r="B24" s="10" t="n">
        <v>1</v>
      </c>
      <c r="C24" s="10" t="s">
        <v>132</v>
      </c>
      <c r="D24" s="14" t="n">
        <v>0.3</v>
      </c>
      <c r="E24" s="10" t="s">
        <v>133</v>
      </c>
      <c r="F24" s="14" t="n">
        <v>0.8</v>
      </c>
      <c r="G24" s="11" t="n">
        <v>526.329176707315</v>
      </c>
      <c r="H24" s="11" t="n">
        <v>3.51379910862421</v>
      </c>
      <c r="I24" s="13" t="n">
        <v>0.394250314796008</v>
      </c>
    </row>
    <row r="25" customFormat="false" ht="15" hidden="false" customHeight="false" outlineLevel="0" collapsed="false">
      <c r="A25" s="10" t="s">
        <v>121</v>
      </c>
      <c r="B25" s="10" t="n">
        <v>1</v>
      </c>
      <c r="C25" s="10" t="s">
        <v>132</v>
      </c>
      <c r="D25" s="14" t="n">
        <v>0.3</v>
      </c>
      <c r="E25" s="10" t="s">
        <v>134</v>
      </c>
      <c r="F25" s="14" t="n">
        <v>0.6</v>
      </c>
      <c r="G25" s="11" t="n">
        <v>492.480174541833</v>
      </c>
      <c r="H25" s="11" t="n">
        <v>3.79308807384834</v>
      </c>
      <c r="I25" s="13" t="n">
        <v>0.401123306690466</v>
      </c>
    </row>
    <row r="26" customFormat="false" ht="15" hidden="false" customHeight="false" outlineLevel="0" collapsed="false">
      <c r="A26" s="10" t="s">
        <v>121</v>
      </c>
      <c r="B26" s="10" t="n">
        <v>1</v>
      </c>
      <c r="C26" s="10" t="s">
        <v>133</v>
      </c>
      <c r="D26" s="14" t="n">
        <v>0.2</v>
      </c>
      <c r="E26" s="10" t="s">
        <v>132</v>
      </c>
      <c r="F26" s="14" t="n">
        <v>1</v>
      </c>
      <c r="G26" s="11" t="n">
        <v>591.394918563886</v>
      </c>
      <c r="H26" s="11" t="n">
        <v>4.06407975246249</v>
      </c>
      <c r="I26" s="13" t="n">
        <v>0.348290121015293</v>
      </c>
    </row>
    <row r="27" customFormat="false" ht="15" hidden="false" customHeight="false" outlineLevel="0" collapsed="false">
      <c r="A27" s="10" t="s">
        <v>121</v>
      </c>
      <c r="B27" s="10" t="n">
        <v>1</v>
      </c>
      <c r="C27" s="10" t="s">
        <v>133</v>
      </c>
      <c r="D27" s="14" t="n">
        <v>0.2</v>
      </c>
      <c r="E27" s="10" t="s">
        <v>133</v>
      </c>
      <c r="F27" s="14" t="n">
        <v>0.8</v>
      </c>
      <c r="G27" s="11" t="n">
        <v>510.039544080004</v>
      </c>
      <c r="H27" s="11" t="n">
        <v>3.04022754400975</v>
      </c>
      <c r="I27" s="13" t="n">
        <v>0.39853304256907</v>
      </c>
    </row>
    <row r="28" customFormat="false" ht="15" hidden="false" customHeight="false" outlineLevel="0" collapsed="false">
      <c r="A28" s="10" t="s">
        <v>121</v>
      </c>
      <c r="B28" s="10" t="n">
        <v>1</v>
      </c>
      <c r="C28" s="10" t="s">
        <v>133</v>
      </c>
      <c r="D28" s="14" t="n">
        <v>0.2</v>
      </c>
      <c r="E28" s="10" t="s">
        <v>134</v>
      </c>
      <c r="F28" s="14" t="n">
        <v>0.6</v>
      </c>
      <c r="G28" s="11" t="n">
        <v>485.871913178383</v>
      </c>
      <c r="H28" s="11" t="n">
        <v>3.23323181172505</v>
      </c>
      <c r="I28" s="13" t="n">
        <v>0.401573121040609</v>
      </c>
    </row>
    <row r="29" customFormat="false" ht="15" hidden="false" customHeight="false" outlineLevel="0" collapsed="false">
      <c r="A29" s="10" t="s">
        <v>121</v>
      </c>
      <c r="B29" s="10" t="n">
        <v>1</v>
      </c>
      <c r="C29" s="10" t="s">
        <v>134</v>
      </c>
      <c r="D29" s="14" t="n">
        <v>0.1</v>
      </c>
      <c r="E29" s="10" t="s">
        <v>132</v>
      </c>
      <c r="F29" s="14" t="n">
        <v>1</v>
      </c>
      <c r="G29" s="11" t="n">
        <v>570.367588110864</v>
      </c>
      <c r="H29" s="11" t="n">
        <v>2.67134593474666</v>
      </c>
      <c r="I29" s="13" t="n">
        <v>0.365475278041229</v>
      </c>
    </row>
    <row r="30" customFormat="false" ht="15" hidden="false" customHeight="false" outlineLevel="0" collapsed="false">
      <c r="A30" s="10" t="s">
        <v>121</v>
      </c>
      <c r="B30" s="10" t="n">
        <v>1</v>
      </c>
      <c r="C30" s="10" t="s">
        <v>134</v>
      </c>
      <c r="D30" s="14" t="n">
        <v>0.1</v>
      </c>
      <c r="E30" s="10" t="s">
        <v>133</v>
      </c>
      <c r="F30" s="14" t="n">
        <v>0.8</v>
      </c>
      <c r="G30" s="11" t="n">
        <v>503.715226764927</v>
      </c>
      <c r="H30" s="11" t="n">
        <v>3.16004986114708</v>
      </c>
      <c r="I30" s="13" t="n">
        <v>0.397571586707133</v>
      </c>
    </row>
    <row r="31" customFormat="false" ht="15" hidden="false" customHeight="false" outlineLevel="0" collapsed="false">
      <c r="A31" s="10" t="s">
        <v>121</v>
      </c>
      <c r="B31" s="10" t="n">
        <v>1</v>
      </c>
      <c r="C31" s="10" t="s">
        <v>134</v>
      </c>
      <c r="D31" s="14" t="n">
        <v>0.1</v>
      </c>
      <c r="E31" s="10" t="s">
        <v>134</v>
      </c>
      <c r="F31" s="14" t="n">
        <v>0.6</v>
      </c>
      <c r="G31" s="11" t="n">
        <v>489.195447464334</v>
      </c>
      <c r="H31" s="11" t="n">
        <v>3.26182491266623</v>
      </c>
      <c r="I31" s="13" t="n">
        <v>0.398036056530527</v>
      </c>
    </row>
    <row r="32" customFormat="false" ht="15" hidden="false" customHeight="false" outlineLevel="0" collapsed="false">
      <c r="A32" s="10" t="s">
        <v>121</v>
      </c>
      <c r="B32" s="10" t="n">
        <v>3</v>
      </c>
      <c r="C32" s="10" t="s">
        <v>132</v>
      </c>
      <c r="D32" s="14" t="n">
        <v>0.3</v>
      </c>
      <c r="E32" s="10" t="s">
        <v>132</v>
      </c>
      <c r="F32" s="14" t="n">
        <v>1</v>
      </c>
      <c r="G32" s="11" t="n">
        <v>622.773834774187</v>
      </c>
      <c r="H32" s="11" t="n">
        <v>4.89202761937147</v>
      </c>
      <c r="I32" s="13" t="n">
        <v>0.328171575321956</v>
      </c>
    </row>
    <row r="33" customFormat="false" ht="15" hidden="false" customHeight="false" outlineLevel="0" collapsed="false">
      <c r="A33" s="10" t="s">
        <v>121</v>
      </c>
      <c r="B33" s="10" t="n">
        <v>3</v>
      </c>
      <c r="C33" s="10" t="s">
        <v>132</v>
      </c>
      <c r="D33" s="14" t="n">
        <v>0.3</v>
      </c>
      <c r="E33" s="10" t="s">
        <v>133</v>
      </c>
      <c r="F33" s="14" t="n">
        <v>0.8</v>
      </c>
      <c r="G33" s="11" t="n">
        <v>528.678010984302</v>
      </c>
      <c r="H33" s="11" t="n">
        <v>4.14415781376175</v>
      </c>
      <c r="I33" s="13" t="n">
        <v>0.393462918342217</v>
      </c>
    </row>
    <row r="34" customFormat="false" ht="15" hidden="false" customHeight="false" outlineLevel="0" collapsed="false">
      <c r="A34" s="10" t="s">
        <v>121</v>
      </c>
      <c r="B34" s="10" t="n">
        <v>3</v>
      </c>
      <c r="C34" s="10" t="s">
        <v>132</v>
      </c>
      <c r="D34" s="14" t="n">
        <v>0.3</v>
      </c>
      <c r="E34" s="10" t="s">
        <v>134</v>
      </c>
      <c r="F34" s="14" t="n">
        <v>0.6</v>
      </c>
      <c r="G34" s="11" t="n">
        <v>426.368801716727</v>
      </c>
      <c r="H34" s="11" t="n">
        <v>4.12094169742295</v>
      </c>
      <c r="I34" s="13" t="n">
        <v>0.478504206729988</v>
      </c>
    </row>
    <row r="35" customFormat="false" ht="15" hidden="false" customHeight="false" outlineLevel="0" collapsed="false">
      <c r="A35" s="10" t="s">
        <v>121</v>
      </c>
      <c r="B35" s="10" t="n">
        <v>3</v>
      </c>
      <c r="C35" s="10" t="s">
        <v>133</v>
      </c>
      <c r="D35" s="14" t="n">
        <v>0.2</v>
      </c>
      <c r="E35" s="10" t="s">
        <v>132</v>
      </c>
      <c r="F35" s="14" t="n">
        <v>1</v>
      </c>
      <c r="G35" s="11" t="n">
        <v>588.418170723351</v>
      </c>
      <c r="H35" s="11" t="n">
        <v>4.47199404144044</v>
      </c>
      <c r="I35" s="13" t="n">
        <v>0.349884391274739</v>
      </c>
    </row>
    <row r="36" customFormat="false" ht="15" hidden="false" customHeight="false" outlineLevel="0" collapsed="false">
      <c r="A36" s="17" t="s">
        <v>121</v>
      </c>
      <c r="B36" s="17" t="n">
        <v>3</v>
      </c>
      <c r="C36" s="17" t="s">
        <v>133</v>
      </c>
      <c r="D36" s="21" t="n">
        <v>0.2</v>
      </c>
      <c r="E36" s="17" t="s">
        <v>133</v>
      </c>
      <c r="F36" s="21" t="n">
        <v>0.8</v>
      </c>
      <c r="G36" s="18" t="n">
        <v>492.702382432588</v>
      </c>
      <c r="H36" s="18" t="n">
        <v>3.47327066104315</v>
      </c>
      <c r="I36" s="19" t="n">
        <v>0.419181337851605</v>
      </c>
    </row>
    <row r="37" customFormat="false" ht="15" hidden="false" customHeight="false" outlineLevel="0" collapsed="false">
      <c r="A37" s="10" t="s">
        <v>121</v>
      </c>
      <c r="B37" s="10" t="n">
        <v>3</v>
      </c>
      <c r="C37" s="10" t="s">
        <v>133</v>
      </c>
      <c r="D37" s="14" t="n">
        <v>0.2</v>
      </c>
      <c r="E37" s="10" t="s">
        <v>134</v>
      </c>
      <c r="F37" s="14" t="n">
        <v>0.6</v>
      </c>
      <c r="G37" s="11" t="n">
        <v>393.9715874216</v>
      </c>
      <c r="H37" s="11" t="n">
        <v>2.74182659826027</v>
      </c>
      <c r="I37" s="13" t="n">
        <v>0.520520984964245</v>
      </c>
    </row>
    <row r="38" customFormat="false" ht="15" hidden="false" customHeight="false" outlineLevel="0" collapsed="false">
      <c r="A38" s="10" t="s">
        <v>121</v>
      </c>
      <c r="B38" s="10" t="n">
        <v>3</v>
      </c>
      <c r="C38" s="10" t="s">
        <v>134</v>
      </c>
      <c r="D38" s="14" t="n">
        <v>0.1</v>
      </c>
      <c r="E38" s="10" t="s">
        <v>132</v>
      </c>
      <c r="F38" s="14" t="n">
        <v>1</v>
      </c>
      <c r="G38" s="11" t="n">
        <v>570.100140492452</v>
      </c>
      <c r="H38" s="11" t="n">
        <v>4.0878672124666</v>
      </c>
      <c r="I38" s="13" t="n">
        <v>0.358496892718511</v>
      </c>
    </row>
    <row r="39" customFormat="false" ht="15" hidden="false" customHeight="false" outlineLevel="0" collapsed="false">
      <c r="A39" s="10" t="s">
        <v>121</v>
      </c>
      <c r="B39" s="10" t="n">
        <v>3</v>
      </c>
      <c r="C39" s="10" t="s">
        <v>134</v>
      </c>
      <c r="D39" s="14" t="n">
        <v>0.1</v>
      </c>
      <c r="E39" s="10" t="s">
        <v>133</v>
      </c>
      <c r="F39" s="14" t="n">
        <v>0.8</v>
      </c>
      <c r="G39" s="11" t="n">
        <v>466.898669538221</v>
      </c>
      <c r="H39" s="11" t="n">
        <v>3.82395677134905</v>
      </c>
      <c r="I39" s="13" t="n">
        <v>0.447451295631896</v>
      </c>
    </row>
    <row r="40" customFormat="false" ht="15" hidden="false" customHeight="false" outlineLevel="0" collapsed="false">
      <c r="A40" s="10" t="s">
        <v>121</v>
      </c>
      <c r="B40" s="10" t="n">
        <v>3</v>
      </c>
      <c r="C40" s="10" t="s">
        <v>134</v>
      </c>
      <c r="D40" s="14" t="n">
        <v>0.1</v>
      </c>
      <c r="E40" s="10" t="s">
        <v>134</v>
      </c>
      <c r="F40" s="14" t="n">
        <v>0.6</v>
      </c>
      <c r="G40" s="11" t="n">
        <v>368.536373837335</v>
      </c>
      <c r="H40" s="11" t="n">
        <v>2.76403038933119</v>
      </c>
      <c r="I40" s="13" t="n">
        <v>0.565949547043542</v>
      </c>
    </row>
    <row r="41" customFormat="false" ht="15" hidden="false" customHeight="false" outlineLevel="0" collapsed="false">
      <c r="A41" s="7"/>
      <c r="B41" s="7"/>
      <c r="C41" s="7"/>
      <c r="D41" s="7"/>
      <c r="E41" s="7"/>
      <c r="F41" s="7"/>
      <c r="G41" s="7"/>
      <c r="H41" s="7"/>
      <c r="I41" s="7"/>
    </row>
    <row r="42" customFormat="false" ht="15" hidden="false" customHeight="false" outlineLevel="0" collapsed="false">
      <c r="A42" s="8" t="s">
        <v>135</v>
      </c>
      <c r="B42" s="7"/>
      <c r="C42" s="7"/>
      <c r="D42" s="7"/>
      <c r="E42" s="7"/>
      <c r="F42" s="7"/>
      <c r="G42" s="7"/>
      <c r="H42" s="7"/>
      <c r="I42" s="7"/>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7"/>
    <col collapsed="false" customWidth="true" hidden="false" outlineLevel="0" max="3" min="3" style="0" width="16"/>
    <col collapsed="false" customWidth="true" hidden="false" outlineLevel="0" max="4" min="4" style="0" width="18"/>
    <col collapsed="false" customWidth="true" hidden="false" outlineLevel="0" max="5" min="5" style="0" width="17"/>
    <col collapsed="false" customWidth="true" hidden="false" outlineLevel="0" max="7" min="6" style="0" width="18"/>
  </cols>
  <sheetData>
    <row r="1" customFormat="false" ht="15" hidden="false" customHeight="false" outlineLevel="0" collapsed="false">
      <c r="A1" s="15" t="s">
        <v>13</v>
      </c>
      <c r="B1" s="15"/>
      <c r="C1" s="15"/>
      <c r="D1" s="15"/>
      <c r="E1" s="15"/>
      <c r="F1" s="15"/>
      <c r="G1" s="15"/>
    </row>
    <row r="2" customFormat="false" ht="30" hidden="false" customHeight="true" outlineLevel="0" collapsed="false">
      <c r="A2" s="16" t="s">
        <v>136</v>
      </c>
      <c r="B2" s="16"/>
      <c r="C2" s="16"/>
      <c r="D2" s="16"/>
      <c r="E2" s="16"/>
      <c r="F2" s="16"/>
      <c r="G2" s="16"/>
    </row>
    <row r="3" customFormat="false" ht="15" hidden="false" customHeight="false" outlineLevel="0" collapsed="false">
      <c r="A3" s="7"/>
      <c r="B3" s="7"/>
      <c r="C3" s="7"/>
      <c r="D3" s="7"/>
      <c r="E3" s="7"/>
      <c r="F3" s="7"/>
      <c r="G3" s="7"/>
    </row>
    <row r="4" customFormat="false" ht="31.5" hidden="false" customHeight="true" outlineLevel="0" collapsed="false">
      <c r="A4" s="2" t="s">
        <v>130</v>
      </c>
      <c r="B4" s="2" t="s">
        <v>49</v>
      </c>
      <c r="C4" s="2" t="s">
        <v>112</v>
      </c>
      <c r="D4" s="2" t="s">
        <v>113</v>
      </c>
      <c r="E4" s="2" t="s">
        <v>36</v>
      </c>
      <c r="F4" s="2" t="s">
        <v>34</v>
      </c>
      <c r="G4" s="2" t="s">
        <v>114</v>
      </c>
    </row>
    <row r="5" customFormat="false" ht="15" hidden="false" customHeight="false" outlineLevel="0" collapsed="false">
      <c r="A5" s="9" t="s">
        <v>137</v>
      </c>
      <c r="B5" s="9"/>
      <c r="C5" s="9"/>
      <c r="D5" s="9"/>
      <c r="E5" s="9"/>
      <c r="F5" s="9"/>
      <c r="G5" s="9"/>
    </row>
    <row r="6" customFormat="false" ht="15" hidden="false" customHeight="false" outlineLevel="0" collapsed="false">
      <c r="A6" s="10" t="n">
        <v>1</v>
      </c>
      <c r="B6" s="14" t="n">
        <v>0.5</v>
      </c>
      <c r="C6" s="10" t="s">
        <v>118</v>
      </c>
      <c r="D6" s="11" t="n">
        <v>546.85770141389</v>
      </c>
      <c r="E6" s="11" t="n">
        <v>7.76306799032409</v>
      </c>
      <c r="F6" s="14" t="n">
        <v>0.871481481481482</v>
      </c>
      <c r="G6" s="13" t="n">
        <v>0.367733832386816</v>
      </c>
    </row>
    <row r="7" customFormat="false" ht="15" hidden="false" customHeight="false" outlineLevel="0" collapsed="false">
      <c r="A7" s="10" t="n">
        <v>1</v>
      </c>
      <c r="B7" s="14" t="n">
        <v>0.5</v>
      </c>
      <c r="C7" s="10" t="s">
        <v>119</v>
      </c>
      <c r="D7" s="11" t="n">
        <v>503.013776437646</v>
      </c>
      <c r="E7" s="11" t="n">
        <v>4.00339208030814</v>
      </c>
      <c r="F7" s="14" t="n">
        <v>0.901481481481481</v>
      </c>
      <c r="G7" s="13" t="n">
        <v>0.391298708659237</v>
      </c>
    </row>
    <row r="8" customFormat="false" ht="15" hidden="false" customHeight="false" outlineLevel="0" collapsed="false">
      <c r="A8" s="10" t="n">
        <v>1</v>
      </c>
      <c r="B8" s="14" t="n">
        <v>0.5</v>
      </c>
      <c r="C8" s="10" t="s">
        <v>120</v>
      </c>
      <c r="D8" s="11" t="n">
        <v>496.140091370593</v>
      </c>
      <c r="E8" s="11" t="n">
        <v>3.26815636929079</v>
      </c>
      <c r="F8" s="14" t="n">
        <v>0.89037037037037</v>
      </c>
      <c r="G8" s="13" t="n">
        <v>0.40098082575244</v>
      </c>
    </row>
    <row r="9" customFormat="false" ht="15" hidden="false" customHeight="false" outlineLevel="0" collapsed="false">
      <c r="A9" s="10" t="n">
        <v>1</v>
      </c>
      <c r="B9" s="14" t="n">
        <v>0.5</v>
      </c>
      <c r="C9" s="10" t="s">
        <v>121</v>
      </c>
      <c r="D9" s="11" t="n">
        <v>488.079318915047</v>
      </c>
      <c r="E9" s="11" t="n">
        <v>3.39865676926254</v>
      </c>
      <c r="F9" s="14" t="n">
        <v>0.890740740740741</v>
      </c>
      <c r="G9" s="13" t="n">
        <v>0.404688416084348</v>
      </c>
    </row>
    <row r="10" customFormat="false" ht="15" hidden="false" customHeight="false" outlineLevel="0" collapsed="false">
      <c r="A10" s="10" t="n">
        <v>1</v>
      </c>
      <c r="B10" s="14" t="n">
        <v>0.5</v>
      </c>
      <c r="C10" s="10" t="s">
        <v>122</v>
      </c>
      <c r="D10" s="11" t="n">
        <v>490.845224887063</v>
      </c>
      <c r="E10" s="11" t="n">
        <v>3.20935460627933</v>
      </c>
      <c r="F10" s="14" t="n">
        <v>0.89</v>
      </c>
      <c r="G10" s="13" t="n">
        <v>0.398429359739021</v>
      </c>
    </row>
    <row r="11" customFormat="false" ht="15" hidden="false" customHeight="false" outlineLevel="0" collapsed="false">
      <c r="A11" s="10" t="n">
        <v>1</v>
      </c>
      <c r="B11" s="14" t="n">
        <v>0.5</v>
      </c>
      <c r="C11" s="10" t="s">
        <v>123</v>
      </c>
      <c r="D11" s="11" t="n">
        <v>486.646356826864</v>
      </c>
      <c r="E11" s="11" t="n">
        <v>3.28047780210863</v>
      </c>
      <c r="F11" s="14" t="n">
        <v>0.886481481481482</v>
      </c>
      <c r="G11" s="13" t="n">
        <v>0.394540495395052</v>
      </c>
    </row>
    <row r="12" customFormat="false" ht="15" hidden="false" customHeight="false" outlineLevel="0" collapsed="false">
      <c r="A12" s="10" t="n">
        <v>1</v>
      </c>
      <c r="B12" s="14" t="n">
        <v>0.5</v>
      </c>
      <c r="C12" s="10" t="s">
        <v>124</v>
      </c>
      <c r="D12" s="11" t="n">
        <v>481.00465917981</v>
      </c>
      <c r="E12" s="11" t="n">
        <v>3.26064588560921</v>
      </c>
      <c r="F12" s="14" t="n">
        <v>0.921296296296296</v>
      </c>
      <c r="G12" s="13" t="n">
        <v>0.39312046293617</v>
      </c>
    </row>
    <row r="13" customFormat="false" ht="15" hidden="false" customHeight="false" outlineLevel="0" collapsed="false">
      <c r="A13" s="10" t="n">
        <v>1</v>
      </c>
      <c r="B13" s="14" t="n">
        <v>0.65</v>
      </c>
      <c r="C13" s="10" t="s">
        <v>118</v>
      </c>
      <c r="D13" s="11" t="n">
        <v>607.479790009665</v>
      </c>
      <c r="E13" s="11" t="n">
        <v>8.78126586921019</v>
      </c>
      <c r="F13" s="14" t="n">
        <v>0.622962962962963</v>
      </c>
      <c r="G13" s="13" t="n">
        <v>0.345729485644208</v>
      </c>
    </row>
    <row r="14" customFormat="false" ht="15" hidden="false" customHeight="false" outlineLevel="0" collapsed="false">
      <c r="A14" s="10" t="n">
        <v>1</v>
      </c>
      <c r="B14" s="14" t="n">
        <v>0.65</v>
      </c>
      <c r="C14" s="10" t="s">
        <v>119</v>
      </c>
      <c r="D14" s="11" t="n">
        <v>548.703641369994</v>
      </c>
      <c r="E14" s="11" t="n">
        <v>5.04762220748595</v>
      </c>
      <c r="F14" s="14" t="n">
        <v>0.62462962962963</v>
      </c>
      <c r="G14" s="13" t="n">
        <v>0.387015043049815</v>
      </c>
    </row>
    <row r="15" customFormat="false" ht="15" hidden="false" customHeight="false" outlineLevel="0" collapsed="false">
      <c r="A15" s="10" t="n">
        <v>1</v>
      </c>
      <c r="B15" s="14" t="n">
        <v>0.65</v>
      </c>
      <c r="C15" s="10" t="s">
        <v>120</v>
      </c>
      <c r="D15" s="11" t="n">
        <v>527.733298301615</v>
      </c>
      <c r="E15" s="11" t="n">
        <v>3.97627429823844</v>
      </c>
      <c r="F15" s="14" t="n">
        <v>0.640740740740741</v>
      </c>
      <c r="G15" s="13" t="n">
        <v>0.389440783450473</v>
      </c>
    </row>
    <row r="16" customFormat="false" ht="15" hidden="false" customHeight="false" outlineLevel="0" collapsed="false">
      <c r="A16" s="10" t="n">
        <v>1</v>
      </c>
      <c r="B16" s="14" t="n">
        <v>0.65</v>
      </c>
      <c r="C16" s="10" t="s">
        <v>121</v>
      </c>
      <c r="D16" s="11" t="n">
        <v>510.039544080004</v>
      </c>
      <c r="E16" s="11" t="n">
        <v>3.04022754400975</v>
      </c>
      <c r="F16" s="14" t="n">
        <v>0.621851851851852</v>
      </c>
      <c r="G16" s="13" t="n">
        <v>0.39853304256907</v>
      </c>
    </row>
    <row r="17" customFormat="false" ht="15" hidden="false" customHeight="false" outlineLevel="0" collapsed="false">
      <c r="A17" s="10" t="n">
        <v>1</v>
      </c>
      <c r="B17" s="14" t="n">
        <v>0.65</v>
      </c>
      <c r="C17" s="10" t="s">
        <v>122</v>
      </c>
      <c r="D17" s="11" t="n">
        <v>506.28693471685</v>
      </c>
      <c r="E17" s="11" t="n">
        <v>2.9176481995557</v>
      </c>
      <c r="F17" s="14" t="n">
        <v>0.640185185185185</v>
      </c>
      <c r="G17" s="13" t="n">
        <v>0.407206642894889</v>
      </c>
    </row>
    <row r="18" customFormat="false" ht="15" hidden="false" customHeight="false" outlineLevel="0" collapsed="false">
      <c r="A18" s="10" t="n">
        <v>1</v>
      </c>
      <c r="B18" s="14" t="n">
        <v>0.65</v>
      </c>
      <c r="C18" s="10" t="s">
        <v>123</v>
      </c>
      <c r="D18" s="11" t="n">
        <v>495.904616469365</v>
      </c>
      <c r="E18" s="11" t="n">
        <v>3.50237034905934</v>
      </c>
      <c r="F18" s="14" t="n">
        <v>0.625740740740741</v>
      </c>
      <c r="G18" s="13" t="n">
        <v>0.407216054242557</v>
      </c>
    </row>
    <row r="19" customFormat="false" ht="15" hidden="false" customHeight="false" outlineLevel="0" collapsed="false">
      <c r="A19" s="10" t="n">
        <v>1</v>
      </c>
      <c r="B19" s="14" t="n">
        <v>0.65</v>
      </c>
      <c r="C19" s="10" t="s">
        <v>124</v>
      </c>
      <c r="D19" s="11" t="n">
        <v>491.871267198089</v>
      </c>
      <c r="E19" s="11" t="n">
        <v>4.01338830410932</v>
      </c>
      <c r="F19" s="14" t="n">
        <v>0.632222222222222</v>
      </c>
      <c r="G19" s="13" t="n">
        <v>0.40561848949758</v>
      </c>
    </row>
    <row r="20" customFormat="false" ht="15" hidden="false" customHeight="false" outlineLevel="0" collapsed="false">
      <c r="A20" s="10" t="n">
        <v>1</v>
      </c>
      <c r="B20" s="14" t="n">
        <v>0.8</v>
      </c>
      <c r="C20" s="10" t="s">
        <v>118</v>
      </c>
      <c r="D20" s="11" t="n">
        <v>668.819633578054</v>
      </c>
      <c r="E20" s="11" t="n">
        <v>6.74743085534099</v>
      </c>
      <c r="F20" s="14" t="n">
        <v>0.363333333333333</v>
      </c>
      <c r="G20" s="13" t="n">
        <v>0.315451963215655</v>
      </c>
    </row>
    <row r="21" customFormat="false" ht="15" hidden="false" customHeight="false" outlineLevel="0" collapsed="false">
      <c r="A21" s="10" t="n">
        <v>1</v>
      </c>
      <c r="B21" s="14" t="n">
        <v>0.8</v>
      </c>
      <c r="C21" s="10" t="s">
        <v>119</v>
      </c>
      <c r="D21" s="11" t="n">
        <v>632.654293761287</v>
      </c>
      <c r="E21" s="11" t="n">
        <v>4.07460955370498</v>
      </c>
      <c r="F21" s="14" t="n">
        <v>0.361851851851852</v>
      </c>
      <c r="G21" s="13" t="n">
        <v>0.329331683231177</v>
      </c>
    </row>
    <row r="22" customFormat="false" ht="15" hidden="false" customHeight="false" outlineLevel="0" collapsed="false">
      <c r="A22" s="10" t="n">
        <v>1</v>
      </c>
      <c r="B22" s="14" t="n">
        <v>0.8</v>
      </c>
      <c r="C22" s="10" t="s">
        <v>120</v>
      </c>
      <c r="D22" s="11" t="n">
        <v>613.139547564967</v>
      </c>
      <c r="E22" s="11" t="n">
        <v>3.90933115268172</v>
      </c>
      <c r="F22" s="14" t="n">
        <v>0.373518518518519</v>
      </c>
      <c r="G22" s="13" t="n">
        <v>0.340178543559766</v>
      </c>
    </row>
    <row r="23" customFormat="false" ht="15" hidden="false" customHeight="false" outlineLevel="0" collapsed="false">
      <c r="A23" s="10" t="n">
        <v>1</v>
      </c>
      <c r="B23" s="14" t="n">
        <v>0.8</v>
      </c>
      <c r="C23" s="10" t="s">
        <v>121</v>
      </c>
      <c r="D23" s="11" t="n">
        <v>587.57966709215</v>
      </c>
      <c r="E23" s="11" t="n">
        <v>4.12974004717896</v>
      </c>
      <c r="F23" s="14" t="n">
        <v>0.368333333333333</v>
      </c>
      <c r="G23" s="13" t="n">
        <v>0.359933312417662</v>
      </c>
    </row>
    <row r="24" customFormat="false" ht="15" hidden="false" customHeight="false" outlineLevel="0" collapsed="false">
      <c r="A24" s="10" t="n">
        <v>1</v>
      </c>
      <c r="B24" s="14" t="n">
        <v>0.8</v>
      </c>
      <c r="C24" s="10" t="s">
        <v>122</v>
      </c>
      <c r="D24" s="11" t="n">
        <v>581.94080704992</v>
      </c>
      <c r="E24" s="11" t="n">
        <v>3.61105867696721</v>
      </c>
      <c r="F24" s="14" t="n">
        <v>0.368148148148148</v>
      </c>
      <c r="G24" s="13" t="n">
        <v>0.361531600617149</v>
      </c>
    </row>
    <row r="25" customFormat="false" ht="15" hidden="false" customHeight="false" outlineLevel="0" collapsed="false">
      <c r="A25" s="10" t="n">
        <v>1</v>
      </c>
      <c r="B25" s="14" t="n">
        <v>0.8</v>
      </c>
      <c r="C25" s="10" t="s">
        <v>123</v>
      </c>
      <c r="D25" s="11" t="n">
        <v>545.685609902898</v>
      </c>
      <c r="E25" s="11" t="n">
        <v>5.3448890819585</v>
      </c>
      <c r="F25" s="14" t="n">
        <v>0.368703703703704</v>
      </c>
      <c r="G25" s="13" t="n">
        <v>0.375792563848279</v>
      </c>
    </row>
    <row r="26" customFormat="false" ht="15" hidden="false" customHeight="false" outlineLevel="0" collapsed="false">
      <c r="A26" s="10" t="n">
        <v>1</v>
      </c>
      <c r="B26" s="14" t="n">
        <v>0.8</v>
      </c>
      <c r="C26" s="10" t="s">
        <v>124</v>
      </c>
      <c r="D26" s="11" t="n">
        <v>523.371268440434</v>
      </c>
      <c r="E26" s="11" t="n">
        <v>5.25179362636144</v>
      </c>
      <c r="F26" s="14" t="n">
        <v>0.366666666666667</v>
      </c>
      <c r="G26" s="13" t="n">
        <v>0.390086385005768</v>
      </c>
    </row>
    <row r="27" customFormat="false" ht="15" hidden="false" customHeight="false" outlineLevel="0" collapsed="false">
      <c r="A27" s="9" t="s">
        <v>138</v>
      </c>
      <c r="B27" s="9"/>
      <c r="C27" s="9"/>
      <c r="D27" s="9"/>
      <c r="E27" s="9"/>
      <c r="F27" s="9"/>
      <c r="G27" s="9"/>
    </row>
    <row r="28" customFormat="false" ht="15" hidden="false" customHeight="false" outlineLevel="0" collapsed="false">
      <c r="A28" s="10" t="n">
        <v>3</v>
      </c>
      <c r="B28" s="14" t="n">
        <v>0.5</v>
      </c>
      <c r="C28" s="10" t="s">
        <v>118</v>
      </c>
      <c r="D28" s="11" t="n">
        <v>541.293122508656</v>
      </c>
      <c r="E28" s="11" t="n">
        <v>6.73610760361314</v>
      </c>
      <c r="F28" s="14" t="n">
        <v>0.898148148148148</v>
      </c>
      <c r="G28" s="13" t="n">
        <v>0.394225609970994</v>
      </c>
    </row>
    <row r="29" customFormat="false" ht="15" hidden="false" customHeight="false" outlineLevel="0" collapsed="false">
      <c r="A29" s="10" t="n">
        <v>3</v>
      </c>
      <c r="B29" s="14" t="n">
        <v>0.5</v>
      </c>
      <c r="C29" s="10" t="s">
        <v>119</v>
      </c>
      <c r="D29" s="11" t="n">
        <v>467.439317422202</v>
      </c>
      <c r="E29" s="11" t="n">
        <v>4.92550483577146</v>
      </c>
      <c r="F29" s="14" t="n">
        <v>0.924074074074074</v>
      </c>
      <c r="G29" s="13" t="n">
        <v>0.432699490641062</v>
      </c>
    </row>
    <row r="30" customFormat="false" ht="15" hidden="false" customHeight="false" outlineLevel="0" collapsed="false">
      <c r="A30" s="10" t="n">
        <v>3</v>
      </c>
      <c r="B30" s="14" t="n">
        <v>0.5</v>
      </c>
      <c r="C30" s="10" t="s">
        <v>120</v>
      </c>
      <c r="D30" s="11" t="n">
        <v>431.052494700762</v>
      </c>
      <c r="E30" s="11" t="n">
        <v>3.95309624944421</v>
      </c>
      <c r="F30" s="14" t="n">
        <v>0.897222222222222</v>
      </c>
      <c r="G30" s="13" t="n">
        <v>0.482627303872117</v>
      </c>
    </row>
    <row r="31" customFormat="false" ht="15" hidden="false" customHeight="false" outlineLevel="0" collapsed="false">
      <c r="A31" s="10" t="n">
        <v>3</v>
      </c>
      <c r="B31" s="14" t="n">
        <v>0.5</v>
      </c>
      <c r="C31" s="10" t="s">
        <v>121</v>
      </c>
      <c r="D31" s="11" t="n">
        <v>401.512178470609</v>
      </c>
      <c r="E31" s="11" t="n">
        <v>4.18072849767513</v>
      </c>
      <c r="F31" s="14" t="n">
        <v>0.888703703703704</v>
      </c>
      <c r="G31" s="13" t="n">
        <v>0.503320505207156</v>
      </c>
    </row>
    <row r="32" customFormat="false" ht="15" hidden="false" customHeight="false" outlineLevel="0" collapsed="false">
      <c r="A32" s="10" t="n">
        <v>3</v>
      </c>
      <c r="B32" s="14" t="n">
        <v>0.5</v>
      </c>
      <c r="C32" s="10" t="s">
        <v>122</v>
      </c>
      <c r="D32" s="11" t="n">
        <v>388.38262812296</v>
      </c>
      <c r="E32" s="11" t="n">
        <v>3.8152753856166</v>
      </c>
      <c r="F32" s="14" t="n">
        <v>0.900185185185185</v>
      </c>
      <c r="G32" s="13" t="n">
        <v>0.543262227403952</v>
      </c>
    </row>
    <row r="33" customFormat="false" ht="15" hidden="false" customHeight="false" outlineLevel="0" collapsed="false">
      <c r="A33" s="10" t="n">
        <v>3</v>
      </c>
      <c r="B33" s="14" t="n">
        <v>0.5</v>
      </c>
      <c r="C33" s="10" t="s">
        <v>123</v>
      </c>
      <c r="D33" s="11" t="n">
        <v>362.836210318768</v>
      </c>
      <c r="E33" s="11" t="n">
        <v>2.8916427612107</v>
      </c>
      <c r="F33" s="14" t="n">
        <v>0.892222222222222</v>
      </c>
      <c r="G33" s="13" t="n">
        <v>0.560071021791488</v>
      </c>
    </row>
    <row r="34" customFormat="false" ht="15" hidden="false" customHeight="false" outlineLevel="0" collapsed="false">
      <c r="A34" s="10" t="n">
        <v>3</v>
      </c>
      <c r="B34" s="14" t="n">
        <v>0.5</v>
      </c>
      <c r="C34" s="10" t="s">
        <v>124</v>
      </c>
      <c r="D34" s="11" t="n">
        <v>341.81131651662</v>
      </c>
      <c r="E34" s="11" t="n">
        <v>3.29110228578008</v>
      </c>
      <c r="F34" s="14" t="n">
        <v>0.897407407407407</v>
      </c>
      <c r="G34" s="13" t="n">
        <v>0.582746571511415</v>
      </c>
    </row>
    <row r="35" customFormat="false" ht="15" hidden="false" customHeight="false" outlineLevel="0" collapsed="false">
      <c r="A35" s="10" t="n">
        <v>3</v>
      </c>
      <c r="B35" s="14" t="n">
        <v>0.65</v>
      </c>
      <c r="C35" s="10" t="s">
        <v>118</v>
      </c>
      <c r="D35" s="11" t="n">
        <v>605.565515329861</v>
      </c>
      <c r="E35" s="11" t="n">
        <v>7.61686904037159</v>
      </c>
      <c r="F35" s="14" t="n">
        <v>0.63537037037037</v>
      </c>
      <c r="G35" s="13" t="n">
        <v>0.336972835383698</v>
      </c>
    </row>
    <row r="36" customFormat="false" ht="15" hidden="false" customHeight="false" outlineLevel="0" collapsed="false">
      <c r="A36" s="10" t="n">
        <v>3</v>
      </c>
      <c r="B36" s="14" t="n">
        <v>0.65</v>
      </c>
      <c r="C36" s="10" t="s">
        <v>119</v>
      </c>
      <c r="D36" s="11" t="n">
        <v>550.257112201459</v>
      </c>
      <c r="E36" s="11" t="n">
        <v>4.99553333062683</v>
      </c>
      <c r="F36" s="14" t="n">
        <v>0.628888888888889</v>
      </c>
      <c r="G36" s="13" t="n">
        <v>0.37691611640387</v>
      </c>
    </row>
    <row r="37" customFormat="false" ht="15" hidden="false" customHeight="false" outlineLevel="0" collapsed="false">
      <c r="A37" s="10" t="n">
        <v>3</v>
      </c>
      <c r="B37" s="14" t="n">
        <v>0.65</v>
      </c>
      <c r="C37" s="10" t="s">
        <v>120</v>
      </c>
      <c r="D37" s="11" t="n">
        <v>522.209833847551</v>
      </c>
      <c r="E37" s="11" t="n">
        <v>5.02736461450364</v>
      </c>
      <c r="F37" s="14" t="n">
        <v>0.639074074074074</v>
      </c>
      <c r="G37" s="13" t="n">
        <v>0.389850451857593</v>
      </c>
    </row>
    <row r="38" customFormat="false" ht="15" hidden="false" customHeight="false" outlineLevel="0" collapsed="false">
      <c r="A38" s="17" t="n">
        <v>3</v>
      </c>
      <c r="B38" s="21" t="n">
        <v>0.65</v>
      </c>
      <c r="C38" s="17" t="s">
        <v>121</v>
      </c>
      <c r="D38" s="18" t="n">
        <v>492.702382432588</v>
      </c>
      <c r="E38" s="18" t="n">
        <v>3.47327066104315</v>
      </c>
      <c r="F38" s="21" t="n">
        <v>0.641851851851852</v>
      </c>
      <c r="G38" s="19" t="n">
        <v>0.419181337851605</v>
      </c>
    </row>
    <row r="39" customFormat="false" ht="15" hidden="false" customHeight="false" outlineLevel="0" collapsed="false">
      <c r="A39" s="10" t="n">
        <v>3</v>
      </c>
      <c r="B39" s="14" t="n">
        <v>0.65</v>
      </c>
      <c r="C39" s="10" t="s">
        <v>122</v>
      </c>
      <c r="D39" s="11" t="n">
        <v>484.089378814206</v>
      </c>
      <c r="E39" s="11" t="n">
        <v>3.23930700873902</v>
      </c>
      <c r="F39" s="14" t="n">
        <v>0.626666666666667</v>
      </c>
      <c r="G39" s="13" t="n">
        <v>0.425700687706463</v>
      </c>
    </row>
    <row r="40" customFormat="false" ht="15" hidden="false" customHeight="false" outlineLevel="0" collapsed="false">
      <c r="A40" s="10" t="n">
        <v>3</v>
      </c>
      <c r="B40" s="14" t="n">
        <v>0.65</v>
      </c>
      <c r="C40" s="10" t="s">
        <v>123</v>
      </c>
      <c r="D40" s="11" t="n">
        <v>450.564672662552</v>
      </c>
      <c r="E40" s="11" t="n">
        <v>3.89334513910219</v>
      </c>
      <c r="F40" s="14" t="n">
        <v>0.619814814814815</v>
      </c>
      <c r="G40" s="13" t="n">
        <v>0.447163486893387</v>
      </c>
    </row>
    <row r="41" customFormat="false" ht="15" hidden="false" customHeight="false" outlineLevel="0" collapsed="false">
      <c r="A41" s="10" t="n">
        <v>3</v>
      </c>
      <c r="B41" s="14" t="n">
        <v>0.65</v>
      </c>
      <c r="C41" s="10" t="s">
        <v>124</v>
      </c>
      <c r="D41" s="11" t="n">
        <v>430.815691868391</v>
      </c>
      <c r="E41" s="11" t="n">
        <v>3.81003195739331</v>
      </c>
      <c r="F41" s="14" t="n">
        <v>0.63</v>
      </c>
      <c r="G41" s="13" t="n">
        <v>0.462313695606557</v>
      </c>
    </row>
    <row r="42" customFormat="false" ht="15" hidden="false" customHeight="false" outlineLevel="0" collapsed="false">
      <c r="A42" s="10" t="n">
        <v>3</v>
      </c>
      <c r="B42" s="14" t="n">
        <v>0.8</v>
      </c>
      <c r="C42" s="10" t="s">
        <v>118</v>
      </c>
      <c r="D42" s="11" t="n">
        <v>676.414829335417</v>
      </c>
      <c r="E42" s="11" t="n">
        <v>6.64287098787496</v>
      </c>
      <c r="F42" s="14" t="n">
        <v>0.367037037037037</v>
      </c>
      <c r="G42" s="13" t="n">
        <v>0.298555201056021</v>
      </c>
    </row>
    <row r="43" customFormat="false" ht="15" hidden="false" customHeight="false" outlineLevel="0" collapsed="false">
      <c r="A43" s="10" t="n">
        <v>3</v>
      </c>
      <c r="B43" s="14" t="n">
        <v>0.8</v>
      </c>
      <c r="C43" s="10" t="s">
        <v>119</v>
      </c>
      <c r="D43" s="11" t="n">
        <v>631.233080325343</v>
      </c>
      <c r="E43" s="11" t="n">
        <v>3.72312722451188</v>
      </c>
      <c r="F43" s="14" t="n">
        <v>0.36037037037037</v>
      </c>
      <c r="G43" s="13" t="n">
        <v>0.329042142214463</v>
      </c>
    </row>
    <row r="44" customFormat="false" ht="15" hidden="false" customHeight="false" outlineLevel="0" collapsed="false">
      <c r="A44" s="10" t="n">
        <v>3</v>
      </c>
      <c r="B44" s="14" t="n">
        <v>0.8</v>
      </c>
      <c r="C44" s="10" t="s">
        <v>120</v>
      </c>
      <c r="D44" s="11" t="n">
        <v>614.550535427525</v>
      </c>
      <c r="E44" s="11" t="n">
        <v>4.49826725371082</v>
      </c>
      <c r="F44" s="14" t="n">
        <v>0.360925925925926</v>
      </c>
      <c r="G44" s="13" t="n">
        <v>0.336307428956864</v>
      </c>
    </row>
    <row r="45" customFormat="false" ht="15" hidden="false" customHeight="false" outlineLevel="0" collapsed="false">
      <c r="A45" s="10" t="n">
        <v>3</v>
      </c>
      <c r="B45" s="14" t="n">
        <v>0.8</v>
      </c>
      <c r="C45" s="10" t="s">
        <v>121</v>
      </c>
      <c r="D45" s="11" t="n">
        <v>586.920085189757</v>
      </c>
      <c r="E45" s="11" t="n">
        <v>4.5975544741681</v>
      </c>
      <c r="F45" s="14" t="n">
        <v>0.361296296296296</v>
      </c>
      <c r="G45" s="13" t="n">
        <v>0.353186481946799</v>
      </c>
    </row>
    <row r="46" customFormat="false" ht="15" hidden="false" customHeight="false" outlineLevel="0" collapsed="false">
      <c r="A46" s="10" t="n">
        <v>3</v>
      </c>
      <c r="B46" s="14" t="n">
        <v>0.8</v>
      </c>
      <c r="C46" s="10" t="s">
        <v>122</v>
      </c>
      <c r="D46" s="11" t="n">
        <v>583.036090953759</v>
      </c>
      <c r="E46" s="11" t="n">
        <v>5.25481368050964</v>
      </c>
      <c r="F46" s="14" t="n">
        <v>0.367222222222222</v>
      </c>
      <c r="G46" s="13" t="n">
        <v>0.34522158642122</v>
      </c>
    </row>
    <row r="47" customFormat="false" ht="15" hidden="false" customHeight="false" outlineLevel="0" collapsed="false">
      <c r="A47" s="10" t="n">
        <v>3</v>
      </c>
      <c r="B47" s="14" t="n">
        <v>0.8</v>
      </c>
      <c r="C47" s="10" t="s">
        <v>123</v>
      </c>
      <c r="D47" s="11" t="n">
        <v>545.258325927931</v>
      </c>
      <c r="E47" s="11" t="n">
        <v>4.95243353492641</v>
      </c>
      <c r="F47" s="14" t="n">
        <v>0.355740740740741</v>
      </c>
      <c r="G47" s="13" t="n">
        <v>0.376037696407966</v>
      </c>
    </row>
    <row r="48" customFormat="false" ht="15" hidden="false" customHeight="false" outlineLevel="0" collapsed="false">
      <c r="A48" s="10" t="n">
        <v>3</v>
      </c>
      <c r="B48" s="14" t="n">
        <v>0.8</v>
      </c>
      <c r="C48" s="10" t="s">
        <v>124</v>
      </c>
      <c r="D48" s="11" t="n">
        <v>517.536462066897</v>
      </c>
      <c r="E48" s="11" t="n">
        <v>5.29832203863072</v>
      </c>
      <c r="F48" s="14" t="n">
        <v>0.35537037037037</v>
      </c>
      <c r="G48" s="13" t="n">
        <v>0.383769635868324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7"/>
    <col collapsed="false" customWidth="true" hidden="false" outlineLevel="0" max="3" min="3" style="0" width="18"/>
    <col collapsed="false" customWidth="true" hidden="false" outlineLevel="0" max="4" min="4" style="0" width="17"/>
    <col collapsed="false" customWidth="true" hidden="false" outlineLevel="0" max="5" min="5" style="0" width="20"/>
  </cols>
  <sheetData>
    <row r="1" customFormat="false" ht="15" hidden="false" customHeight="false" outlineLevel="0" collapsed="false">
      <c r="A1" s="15" t="s">
        <v>139</v>
      </c>
      <c r="B1" s="15"/>
      <c r="C1" s="15"/>
      <c r="D1" s="15"/>
      <c r="E1" s="15"/>
    </row>
    <row r="2" customFormat="false" ht="30" hidden="false" customHeight="true" outlineLevel="0" collapsed="false">
      <c r="A2" s="16" t="s">
        <v>140</v>
      </c>
      <c r="B2" s="16"/>
      <c r="C2" s="16"/>
      <c r="D2" s="16"/>
      <c r="E2" s="16"/>
    </row>
    <row r="3" customFormat="false" ht="15" hidden="false" customHeight="false" outlineLevel="0" collapsed="false">
      <c r="A3" s="7"/>
      <c r="B3" s="7"/>
      <c r="C3" s="7"/>
      <c r="D3" s="7"/>
      <c r="E3" s="7"/>
    </row>
    <row r="4" customFormat="false" ht="31.5" hidden="false" customHeight="true" outlineLevel="0" collapsed="false">
      <c r="A4" s="2" t="s">
        <v>141</v>
      </c>
      <c r="B4" s="2" t="s">
        <v>49</v>
      </c>
      <c r="C4" s="2" t="s">
        <v>113</v>
      </c>
      <c r="D4" s="2" t="s">
        <v>36</v>
      </c>
      <c r="E4" s="2" t="s">
        <v>142</v>
      </c>
    </row>
    <row r="5" customFormat="false" ht="15" hidden="false" customHeight="false" outlineLevel="0" collapsed="false">
      <c r="A5" s="9" t="s">
        <v>143</v>
      </c>
      <c r="B5" s="9"/>
      <c r="C5" s="9"/>
      <c r="D5" s="9"/>
      <c r="E5" s="9"/>
    </row>
    <row r="6" customFormat="false" ht="15" hidden="false" customHeight="false" outlineLevel="0" collapsed="false">
      <c r="A6" s="22" t="n">
        <v>3</v>
      </c>
      <c r="B6" s="14" t="n">
        <v>0.5</v>
      </c>
      <c r="C6" s="11" t="n">
        <v>401.512178470609</v>
      </c>
      <c r="D6" s="11" t="n">
        <v>4.18072849767513</v>
      </c>
      <c r="E6" s="10" t="s">
        <v>144</v>
      </c>
    </row>
    <row r="7" customFormat="false" ht="15" hidden="false" customHeight="false" outlineLevel="0" collapsed="false">
      <c r="A7" s="22" t="n">
        <v>3</v>
      </c>
      <c r="B7" s="14" t="n">
        <v>0.65</v>
      </c>
      <c r="C7" s="11" t="n">
        <v>492.702382432588</v>
      </c>
      <c r="D7" s="11" t="n">
        <v>3.47327066104315</v>
      </c>
      <c r="E7" s="10"/>
    </row>
    <row r="8" customFormat="false" ht="15" hidden="false" customHeight="false" outlineLevel="0" collapsed="false">
      <c r="A8" s="22" t="n">
        <v>3</v>
      </c>
      <c r="B8" s="14" t="n">
        <v>0.8</v>
      </c>
      <c r="C8" s="11" t="n">
        <v>586.920085189757</v>
      </c>
      <c r="D8" s="11" t="n">
        <v>4.5975544741681</v>
      </c>
      <c r="E8" s="10"/>
    </row>
    <row r="9" customFormat="false" ht="15" hidden="false" customHeight="false" outlineLevel="0" collapsed="false">
      <c r="A9" s="9" t="s">
        <v>145</v>
      </c>
      <c r="B9" s="9"/>
      <c r="C9" s="9"/>
      <c r="D9" s="9"/>
      <c r="E9" s="9"/>
    </row>
    <row r="10" customFormat="false" ht="15" hidden="false" customHeight="false" outlineLevel="0" collapsed="false">
      <c r="A10" s="22" t="n">
        <v>6</v>
      </c>
      <c r="B10" s="14" t="n">
        <v>0.5</v>
      </c>
      <c r="C10" s="11" t="n">
        <v>466.910928255531</v>
      </c>
      <c r="D10" s="11" t="n">
        <v>7.05443342189158</v>
      </c>
      <c r="E10" s="10" t="s">
        <v>144</v>
      </c>
    </row>
    <row r="11" customFormat="false" ht="15" hidden="false" customHeight="false" outlineLevel="0" collapsed="false">
      <c r="A11" s="22" t="n">
        <v>6</v>
      </c>
      <c r="B11" s="14" t="n">
        <v>0.65</v>
      </c>
      <c r="C11" s="11" t="n">
        <v>541.304759798067</v>
      </c>
      <c r="D11" s="11" t="n">
        <v>4.41923758527659</v>
      </c>
      <c r="E11" s="10"/>
    </row>
    <row r="12" customFormat="false" ht="15" hidden="false" customHeight="false" outlineLevel="0" collapsed="false">
      <c r="A12" s="22" t="n">
        <v>6</v>
      </c>
      <c r="B12" s="14" t="n">
        <v>0.8</v>
      </c>
      <c r="C12" s="11" t="n">
        <v>614.168758085948</v>
      </c>
      <c r="D12" s="11" t="n">
        <v>6.70463850834635</v>
      </c>
      <c r="E12" s="10"/>
    </row>
    <row r="13" customFormat="false" ht="15" hidden="false" customHeight="false" outlineLevel="0" collapsed="false">
      <c r="A13" s="9" t="s">
        <v>146</v>
      </c>
      <c r="B13" s="9"/>
      <c r="C13" s="9"/>
      <c r="D13" s="9"/>
      <c r="E13" s="9"/>
    </row>
    <row r="14" customFormat="false" ht="15" hidden="false" customHeight="false" outlineLevel="0" collapsed="false">
      <c r="A14" s="22" t="n">
        <v>10</v>
      </c>
      <c r="B14" s="14" t="n">
        <v>0.5</v>
      </c>
      <c r="C14" s="11" t="n">
        <v>574.408383388015</v>
      </c>
      <c r="D14" s="11" t="n">
        <v>11.0259810630673</v>
      </c>
      <c r="E14" s="10" t="s">
        <v>144</v>
      </c>
    </row>
    <row r="15" customFormat="false" ht="15" hidden="false" customHeight="false" outlineLevel="0" collapsed="false">
      <c r="A15" s="22" t="n">
        <v>10</v>
      </c>
      <c r="B15" s="14" t="n">
        <v>0.65</v>
      </c>
      <c r="C15" s="11" t="n">
        <v>607.898473378168</v>
      </c>
      <c r="D15" s="11" t="n">
        <v>8.34641474427512</v>
      </c>
      <c r="E15" s="10"/>
    </row>
    <row r="16" customFormat="false" ht="15" hidden="false" customHeight="false" outlineLevel="0" collapsed="false">
      <c r="A16" s="22" t="n">
        <v>10</v>
      </c>
      <c r="B16" s="14" t="n">
        <v>0.8</v>
      </c>
      <c r="C16" s="11" t="n">
        <v>649.577628488882</v>
      </c>
      <c r="D16" s="11" t="n">
        <v>8.04852021676764</v>
      </c>
      <c r="E16" s="10"/>
    </row>
    <row r="17" customFormat="false" ht="15" hidden="false" customHeight="false" outlineLevel="0" collapsed="false">
      <c r="A17" s="9" t="s">
        <v>147</v>
      </c>
      <c r="B17" s="9"/>
      <c r="C17" s="9"/>
      <c r="D17" s="9"/>
      <c r="E17" s="9"/>
    </row>
    <row r="18" customFormat="false" ht="15" hidden="false" customHeight="false" outlineLevel="0" collapsed="false">
      <c r="A18" s="22" t="n">
        <v>15</v>
      </c>
      <c r="B18" s="14" t="n">
        <v>0.5</v>
      </c>
      <c r="C18" s="11" t="n">
        <v>700.428316610882</v>
      </c>
      <c r="D18" s="11" t="n">
        <v>14.0107262645659</v>
      </c>
      <c r="E18" s="10" t="s">
        <v>144</v>
      </c>
    </row>
    <row r="19" customFormat="false" ht="15" hidden="false" customHeight="false" outlineLevel="0" collapsed="false">
      <c r="A19" s="22" t="n">
        <v>15</v>
      </c>
      <c r="B19" s="14" t="n">
        <v>0.65</v>
      </c>
      <c r="C19" s="11" t="n">
        <v>721.912003462727</v>
      </c>
      <c r="D19" s="11" t="n">
        <v>15.4997688374874</v>
      </c>
      <c r="E19" s="10"/>
    </row>
    <row r="20" customFormat="false" ht="15" hidden="false" customHeight="false" outlineLevel="0" collapsed="false">
      <c r="A20" s="22" t="n">
        <v>15</v>
      </c>
      <c r="B20" s="14" t="n">
        <v>0.8</v>
      </c>
      <c r="C20" s="11" t="n">
        <v>717.616078768231</v>
      </c>
      <c r="D20" s="11" t="n">
        <v>10.9963191365078</v>
      </c>
      <c r="E20" s="10"/>
    </row>
    <row r="21" customFormat="false" ht="15" hidden="false" customHeight="false" outlineLevel="0" collapsed="false">
      <c r="A21" s="9" t="s">
        <v>148</v>
      </c>
      <c r="B21" s="9"/>
      <c r="C21" s="9"/>
      <c r="D21" s="9"/>
      <c r="E21" s="9"/>
    </row>
    <row r="22" customFormat="false" ht="15" hidden="false" customHeight="false" outlineLevel="0" collapsed="false">
      <c r="A22" s="22" t="n">
        <v>20</v>
      </c>
      <c r="B22" s="14" t="n">
        <v>0.5</v>
      </c>
      <c r="C22" s="11" t="n">
        <v>830.565388058003</v>
      </c>
      <c r="D22" s="11" t="n">
        <v>21.8652903780238</v>
      </c>
      <c r="E22" s="10"/>
    </row>
    <row r="23" customFormat="false" ht="15" hidden="false" customHeight="false" outlineLevel="0" collapsed="false">
      <c r="A23" s="22" t="n">
        <v>20</v>
      </c>
      <c r="B23" s="14" t="n">
        <v>0.65</v>
      </c>
      <c r="C23" s="11" t="n">
        <v>822.189682287466</v>
      </c>
      <c r="D23" s="11" t="n">
        <v>16.5856613411401</v>
      </c>
      <c r="E23" s="10"/>
    </row>
    <row r="24" customFormat="false" ht="15" hidden="false" customHeight="false" outlineLevel="0" collapsed="false">
      <c r="A24" s="22" t="n">
        <v>20</v>
      </c>
      <c r="B24" s="14" t="n">
        <v>0.8</v>
      </c>
      <c r="C24" s="11" t="n">
        <v>779.902251404698</v>
      </c>
      <c r="D24" s="11" t="n">
        <v>9.57785388095261</v>
      </c>
      <c r="E24" s="10" t="s">
        <v>144</v>
      </c>
    </row>
    <row r="25" customFormat="false" ht="15" hidden="false" customHeight="false" outlineLevel="0" collapsed="false">
      <c r="A25" s="9" t="s">
        <v>149</v>
      </c>
      <c r="B25" s="9"/>
      <c r="C25" s="9"/>
      <c r="D25" s="9"/>
      <c r="E25" s="9"/>
    </row>
    <row r="26" customFormat="false" ht="15" hidden="false" customHeight="false" outlineLevel="0" collapsed="false">
      <c r="A26" s="22" t="n">
        <v>30</v>
      </c>
      <c r="B26" s="14" t="n">
        <v>0.5</v>
      </c>
      <c r="C26" s="11" t="n">
        <v>1124.44922335917</v>
      </c>
      <c r="D26" s="11" t="n">
        <v>36.8580042628768</v>
      </c>
      <c r="E26" s="10"/>
    </row>
    <row r="27" customFormat="false" ht="15" hidden="false" customHeight="false" outlineLevel="0" collapsed="false">
      <c r="A27" s="22" t="n">
        <v>30</v>
      </c>
      <c r="B27" s="14" t="n">
        <v>0.65</v>
      </c>
      <c r="C27" s="11" t="n">
        <v>1008.99070768061</v>
      </c>
      <c r="D27" s="11" t="n">
        <v>32.1997687210453</v>
      </c>
      <c r="E27" s="10"/>
    </row>
    <row r="28" customFormat="false" ht="15" hidden="false" customHeight="false" outlineLevel="0" collapsed="false">
      <c r="A28" s="22" t="n">
        <v>30</v>
      </c>
      <c r="B28" s="14" t="n">
        <v>0.8</v>
      </c>
      <c r="C28" s="11" t="n">
        <v>911.027510023915</v>
      </c>
      <c r="D28" s="11" t="n">
        <v>27.2900521115628</v>
      </c>
      <c r="E28" s="10" t="s">
        <v>144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22"/>
    <col collapsed="false" customWidth="true" hidden="false" outlineLevel="0" max="5" min="4" style="0" width="17"/>
    <col collapsed="false" customWidth="true" hidden="false" outlineLevel="0" max="6" min="6" style="0" width="18"/>
    <col collapsed="false" customWidth="true" hidden="false" outlineLevel="0" max="7" min="7" style="0" width="17"/>
  </cols>
  <sheetData>
    <row r="1" customFormat="false" ht="15" hidden="false" customHeight="false" outlineLevel="0" collapsed="false">
      <c r="A1" s="15" t="s">
        <v>150</v>
      </c>
      <c r="B1" s="15"/>
      <c r="C1" s="15"/>
      <c r="D1" s="15"/>
      <c r="E1" s="15"/>
      <c r="F1" s="15"/>
      <c r="G1" s="15"/>
    </row>
    <row r="2" customFormat="false" ht="30" hidden="false" customHeight="true" outlineLevel="0" collapsed="false">
      <c r="A2" s="16" t="s">
        <v>151</v>
      </c>
      <c r="B2" s="16"/>
      <c r="C2" s="16"/>
      <c r="D2" s="16"/>
      <c r="E2" s="16"/>
      <c r="F2" s="16"/>
      <c r="G2" s="16"/>
    </row>
    <row r="3" customFormat="false" ht="15" hidden="false" customHeight="false" outlineLevel="0" collapsed="false">
      <c r="A3" s="7"/>
      <c r="B3" s="7"/>
      <c r="C3" s="7"/>
      <c r="D3" s="7"/>
      <c r="E3" s="7"/>
      <c r="F3" s="7"/>
      <c r="G3" s="7"/>
    </row>
    <row r="4" customFormat="false" ht="31.5" hidden="false" customHeight="true" outlineLevel="0" collapsed="false">
      <c r="A4" s="2" t="s">
        <v>112</v>
      </c>
      <c r="B4" s="2" t="s">
        <v>130</v>
      </c>
      <c r="C4" s="2" t="s">
        <v>43</v>
      </c>
      <c r="D4" s="2" t="s">
        <v>11</v>
      </c>
      <c r="E4" s="2" t="s">
        <v>45</v>
      </c>
      <c r="F4" s="2" t="s">
        <v>113</v>
      </c>
      <c r="G4" s="2" t="s">
        <v>36</v>
      </c>
    </row>
    <row r="5" customFormat="false" ht="15" hidden="false" customHeight="false" outlineLevel="0" collapsed="false">
      <c r="A5" s="9" t="s">
        <v>152</v>
      </c>
      <c r="B5" s="9"/>
      <c r="C5" s="9"/>
      <c r="D5" s="9"/>
      <c r="E5" s="9"/>
      <c r="F5" s="9"/>
      <c r="G5" s="9"/>
    </row>
    <row r="6" customFormat="false" ht="15" hidden="false" customHeight="false" outlineLevel="0" collapsed="false">
      <c r="A6" s="10" t="s">
        <v>118</v>
      </c>
      <c r="B6" s="10" t="n">
        <v>1</v>
      </c>
      <c r="C6" s="23" t="n">
        <v>0.1</v>
      </c>
      <c r="D6" s="10" t="s">
        <v>132</v>
      </c>
      <c r="E6" s="14" t="n">
        <v>0.3</v>
      </c>
      <c r="F6" s="11" t="n">
        <v>598.620803476525</v>
      </c>
      <c r="G6" s="11" t="n">
        <v>9.40289975633991</v>
      </c>
    </row>
    <row r="7" customFormat="false" ht="15" hidden="false" customHeight="false" outlineLevel="0" collapsed="false">
      <c r="A7" s="10" t="s">
        <v>118</v>
      </c>
      <c r="B7" s="10" t="n">
        <v>1</v>
      </c>
      <c r="C7" s="23" t="n">
        <v>0.1</v>
      </c>
      <c r="D7" s="10" t="s">
        <v>133</v>
      </c>
      <c r="E7" s="14" t="n">
        <v>0.2</v>
      </c>
      <c r="F7" s="11" t="n">
        <v>579.47503581068</v>
      </c>
      <c r="G7" s="11" t="n">
        <v>7.5960623518827</v>
      </c>
    </row>
    <row r="8" customFormat="false" ht="15" hidden="false" customHeight="false" outlineLevel="0" collapsed="false">
      <c r="A8" s="10" t="s">
        <v>118</v>
      </c>
      <c r="B8" s="10" t="n">
        <v>1</v>
      </c>
      <c r="C8" s="23" t="n">
        <v>0.1</v>
      </c>
      <c r="D8" s="10" t="s">
        <v>134</v>
      </c>
      <c r="E8" s="14" t="n">
        <v>0.1</v>
      </c>
      <c r="F8" s="11" t="n">
        <v>562.565335089068</v>
      </c>
      <c r="G8" s="11" t="n">
        <v>6.83444347712732</v>
      </c>
    </row>
    <row r="9" customFormat="false" ht="15" hidden="false" customHeight="false" outlineLevel="0" collapsed="false">
      <c r="A9" s="10" t="s">
        <v>118</v>
      </c>
      <c r="B9" s="10" t="n">
        <v>1</v>
      </c>
      <c r="C9" s="23" t="n">
        <v>0.3</v>
      </c>
      <c r="D9" s="10" t="s">
        <v>132</v>
      </c>
      <c r="E9" s="14" t="n">
        <v>0.3</v>
      </c>
      <c r="F9" s="11" t="n">
        <v>643.805253914166</v>
      </c>
      <c r="G9" s="11" t="n">
        <v>5.67702958389646</v>
      </c>
    </row>
    <row r="10" customFormat="false" ht="15" hidden="false" customHeight="false" outlineLevel="0" collapsed="false">
      <c r="A10" s="10" t="s">
        <v>118</v>
      </c>
      <c r="B10" s="10" t="n">
        <v>1</v>
      </c>
      <c r="C10" s="23" t="n">
        <v>0.3</v>
      </c>
      <c r="D10" s="10" t="s">
        <v>133</v>
      </c>
      <c r="E10" s="14" t="n">
        <v>0.2</v>
      </c>
      <c r="F10" s="11" t="n">
        <v>607.479790009665</v>
      </c>
      <c r="G10" s="11" t="n">
        <v>8.78126586921019</v>
      </c>
    </row>
    <row r="11" customFormat="false" ht="15" hidden="false" customHeight="false" outlineLevel="0" collapsed="false">
      <c r="A11" s="10" t="s">
        <v>118</v>
      </c>
      <c r="B11" s="10" t="n">
        <v>1</v>
      </c>
      <c r="C11" s="23" t="n">
        <v>0.3</v>
      </c>
      <c r="D11" s="10" t="s">
        <v>134</v>
      </c>
      <c r="E11" s="14" t="n">
        <v>0.1</v>
      </c>
      <c r="F11" s="11" t="n">
        <v>579.12657542363</v>
      </c>
      <c r="G11" s="11" t="n">
        <v>8.01372834169462</v>
      </c>
    </row>
    <row r="12" customFormat="false" ht="15" hidden="false" customHeight="false" outlineLevel="0" collapsed="false">
      <c r="A12" s="10" t="s">
        <v>118</v>
      </c>
      <c r="B12" s="10" t="n">
        <v>1</v>
      </c>
      <c r="C12" s="23" t="n">
        <v>0.5</v>
      </c>
      <c r="D12" s="10" t="s">
        <v>132</v>
      </c>
      <c r="E12" s="14" t="n">
        <v>0.3</v>
      </c>
      <c r="F12" s="11" t="n">
        <v>670.424743858049</v>
      </c>
      <c r="G12" s="11" t="n">
        <v>6.45219953193308</v>
      </c>
    </row>
    <row r="13" customFormat="false" ht="15" hidden="false" customHeight="false" outlineLevel="0" collapsed="false">
      <c r="A13" s="10" t="s">
        <v>118</v>
      </c>
      <c r="B13" s="10" t="n">
        <v>1</v>
      </c>
      <c r="C13" s="23" t="n">
        <v>0.5</v>
      </c>
      <c r="D13" s="10" t="s">
        <v>133</v>
      </c>
      <c r="E13" s="14" t="n">
        <v>0.2</v>
      </c>
      <c r="F13" s="11" t="n">
        <v>627.528695922647</v>
      </c>
      <c r="G13" s="11" t="n">
        <v>9.05221314006854</v>
      </c>
    </row>
    <row r="14" customFormat="false" ht="15" hidden="false" customHeight="false" outlineLevel="0" collapsed="false">
      <c r="A14" s="10" t="s">
        <v>118</v>
      </c>
      <c r="B14" s="10" t="n">
        <v>1</v>
      </c>
      <c r="C14" s="23" t="n">
        <v>0.5</v>
      </c>
      <c r="D14" s="10" t="s">
        <v>134</v>
      </c>
      <c r="E14" s="14" t="n">
        <v>0.1</v>
      </c>
      <c r="F14" s="11" t="n">
        <v>582.891507413959</v>
      </c>
      <c r="G14" s="11" t="n">
        <v>5.56280413795821</v>
      </c>
    </row>
    <row r="15" customFormat="false" ht="15" hidden="false" customHeight="false" outlineLevel="0" collapsed="false">
      <c r="A15" s="9" t="s">
        <v>153</v>
      </c>
      <c r="B15" s="9"/>
      <c r="C15" s="9"/>
      <c r="D15" s="9"/>
      <c r="E15" s="9"/>
      <c r="F15" s="9"/>
      <c r="G15" s="9"/>
    </row>
    <row r="16" customFormat="false" ht="15" hidden="false" customHeight="false" outlineLevel="0" collapsed="false">
      <c r="A16" s="10" t="s">
        <v>118</v>
      </c>
      <c r="B16" s="10" t="n">
        <v>3</v>
      </c>
      <c r="C16" s="23" t="n">
        <v>0.1</v>
      </c>
      <c r="D16" s="10" t="s">
        <v>132</v>
      </c>
      <c r="E16" s="14" t="n">
        <v>0.3</v>
      </c>
      <c r="F16" s="11" t="n">
        <v>598.430515318881</v>
      </c>
      <c r="G16" s="11" t="n">
        <v>7.07724112467856</v>
      </c>
    </row>
    <row r="17" customFormat="false" ht="15" hidden="false" customHeight="false" outlineLevel="0" collapsed="false">
      <c r="A17" s="10" t="s">
        <v>118</v>
      </c>
      <c r="B17" s="10" t="n">
        <v>3</v>
      </c>
      <c r="C17" s="23" t="n">
        <v>0.1</v>
      </c>
      <c r="D17" s="10" t="s">
        <v>133</v>
      </c>
      <c r="E17" s="14" t="n">
        <v>0.2</v>
      </c>
      <c r="F17" s="11" t="n">
        <v>579.730591422423</v>
      </c>
      <c r="G17" s="11" t="n">
        <v>9.84865151991673</v>
      </c>
    </row>
    <row r="18" customFormat="false" ht="15" hidden="false" customHeight="false" outlineLevel="0" collapsed="false">
      <c r="A18" s="10" t="s">
        <v>118</v>
      </c>
      <c r="B18" s="10" t="n">
        <v>3</v>
      </c>
      <c r="C18" s="23" t="n">
        <v>0.1</v>
      </c>
      <c r="D18" s="10" t="s">
        <v>134</v>
      </c>
      <c r="E18" s="14" t="n">
        <v>0.1</v>
      </c>
      <c r="F18" s="11" t="n">
        <v>562.933349509904</v>
      </c>
      <c r="G18" s="11" t="n">
        <v>7.00194036145805</v>
      </c>
    </row>
    <row r="19" customFormat="false" ht="15" hidden="false" customHeight="false" outlineLevel="0" collapsed="false">
      <c r="A19" s="10" t="s">
        <v>118</v>
      </c>
      <c r="B19" s="10" t="n">
        <v>3</v>
      </c>
      <c r="C19" s="23" t="n">
        <v>0.3</v>
      </c>
      <c r="D19" s="10" t="s">
        <v>132</v>
      </c>
      <c r="E19" s="14" t="n">
        <v>0.3</v>
      </c>
      <c r="F19" s="11" t="n">
        <v>640.589529373718</v>
      </c>
      <c r="G19" s="11" t="n">
        <v>7.14103785214179</v>
      </c>
    </row>
    <row r="20" customFormat="false" ht="15" hidden="false" customHeight="false" outlineLevel="0" collapsed="false">
      <c r="A20" s="10" t="s">
        <v>118</v>
      </c>
      <c r="B20" s="10" t="n">
        <v>3</v>
      </c>
      <c r="C20" s="23" t="n">
        <v>0.3</v>
      </c>
      <c r="D20" s="10" t="s">
        <v>133</v>
      </c>
      <c r="E20" s="14" t="n">
        <v>0.2</v>
      </c>
      <c r="F20" s="11" t="n">
        <v>605.565515329861</v>
      </c>
      <c r="G20" s="11" t="n">
        <v>7.61686904037159</v>
      </c>
    </row>
    <row r="21" customFormat="false" ht="15" hidden="false" customHeight="false" outlineLevel="0" collapsed="false">
      <c r="A21" s="10" t="s">
        <v>118</v>
      </c>
      <c r="B21" s="10" t="n">
        <v>3</v>
      </c>
      <c r="C21" s="23" t="n">
        <v>0.3</v>
      </c>
      <c r="D21" s="10" t="s">
        <v>134</v>
      </c>
      <c r="E21" s="14" t="n">
        <v>0.1</v>
      </c>
      <c r="F21" s="11" t="n">
        <v>575.294880053558</v>
      </c>
      <c r="G21" s="11" t="n">
        <v>7.72315183020481</v>
      </c>
    </row>
    <row r="22" customFormat="false" ht="15" hidden="false" customHeight="false" outlineLevel="0" collapsed="false">
      <c r="A22" s="10" t="s">
        <v>118</v>
      </c>
      <c r="B22" s="10" t="n">
        <v>3</v>
      </c>
      <c r="C22" s="23" t="n">
        <v>0.5</v>
      </c>
      <c r="D22" s="10" t="s">
        <v>132</v>
      </c>
      <c r="E22" s="14" t="n">
        <v>0.3</v>
      </c>
      <c r="F22" s="11" t="n">
        <v>669.696110606731</v>
      </c>
      <c r="G22" s="11" t="n">
        <v>10.1880175103307</v>
      </c>
    </row>
    <row r="23" customFormat="false" ht="15" hidden="false" customHeight="false" outlineLevel="0" collapsed="false">
      <c r="A23" s="10" t="s">
        <v>118</v>
      </c>
      <c r="B23" s="10" t="n">
        <v>3</v>
      </c>
      <c r="C23" s="23" t="n">
        <v>0.5</v>
      </c>
      <c r="D23" s="10" t="s">
        <v>133</v>
      </c>
      <c r="E23" s="14" t="n">
        <v>0.2</v>
      </c>
      <c r="F23" s="11" t="n">
        <v>625.458524946924</v>
      </c>
      <c r="G23" s="11" t="n">
        <v>8.59417829669591</v>
      </c>
    </row>
    <row r="24" customFormat="false" ht="15" hidden="false" customHeight="false" outlineLevel="0" collapsed="false">
      <c r="A24" s="10" t="s">
        <v>118</v>
      </c>
      <c r="B24" s="10" t="n">
        <v>3</v>
      </c>
      <c r="C24" s="23" t="n">
        <v>0.5</v>
      </c>
      <c r="D24" s="10" t="s">
        <v>134</v>
      </c>
      <c r="E24" s="14" t="n">
        <v>0.1</v>
      </c>
      <c r="F24" s="11" t="n">
        <v>582.912161596588</v>
      </c>
      <c r="G24" s="11" t="n">
        <v>6.37275275570728</v>
      </c>
    </row>
    <row r="25" customFormat="false" ht="15" hidden="false" customHeight="false" outlineLevel="0" collapsed="false">
      <c r="A25" s="9" t="s">
        <v>154</v>
      </c>
      <c r="B25" s="9"/>
      <c r="C25" s="9"/>
      <c r="D25" s="9"/>
      <c r="E25" s="9"/>
      <c r="F25" s="9"/>
      <c r="G25" s="9"/>
    </row>
    <row r="26" customFormat="false" ht="15" hidden="false" customHeight="false" outlineLevel="0" collapsed="false">
      <c r="A26" s="10" t="s">
        <v>121</v>
      </c>
      <c r="B26" s="10" t="n">
        <v>1</v>
      </c>
      <c r="C26" s="23" t="n">
        <v>0.1</v>
      </c>
      <c r="D26" s="10" t="s">
        <v>132</v>
      </c>
      <c r="E26" s="14" t="n">
        <v>0.3</v>
      </c>
      <c r="F26" s="11" t="n">
        <v>506.316038592474</v>
      </c>
      <c r="G26" s="11" t="n">
        <v>3.14193437273198</v>
      </c>
    </row>
    <row r="27" customFormat="false" ht="15" hidden="false" customHeight="false" outlineLevel="0" collapsed="false">
      <c r="A27" s="10" t="s">
        <v>121</v>
      </c>
      <c r="B27" s="10" t="n">
        <v>1</v>
      </c>
      <c r="C27" s="23" t="n">
        <v>0.1</v>
      </c>
      <c r="D27" s="10" t="s">
        <v>133</v>
      </c>
      <c r="E27" s="14" t="n">
        <v>0.2</v>
      </c>
      <c r="F27" s="11" t="n">
        <v>506.543137378067</v>
      </c>
      <c r="G27" s="11" t="n">
        <v>3.61009701938269</v>
      </c>
    </row>
    <row r="28" customFormat="false" ht="15" hidden="false" customHeight="false" outlineLevel="0" collapsed="false">
      <c r="A28" s="10" t="s">
        <v>121</v>
      </c>
      <c r="B28" s="10" t="n">
        <v>1</v>
      </c>
      <c r="C28" s="23" t="n">
        <v>0.1</v>
      </c>
      <c r="D28" s="10" t="s">
        <v>134</v>
      </c>
      <c r="E28" s="14" t="n">
        <v>0.1</v>
      </c>
      <c r="F28" s="11" t="n">
        <v>503.541919111722</v>
      </c>
      <c r="G28" s="11" t="n">
        <v>3.53507839346866</v>
      </c>
    </row>
    <row r="29" customFormat="false" ht="15" hidden="false" customHeight="false" outlineLevel="0" collapsed="false">
      <c r="A29" s="10" t="s">
        <v>121</v>
      </c>
      <c r="B29" s="10" t="n">
        <v>1</v>
      </c>
      <c r="C29" s="23" t="n">
        <v>0.3</v>
      </c>
      <c r="D29" s="10" t="s">
        <v>132</v>
      </c>
      <c r="E29" s="14" t="n">
        <v>0.3</v>
      </c>
      <c r="F29" s="11" t="n">
        <v>526.329176707315</v>
      </c>
      <c r="G29" s="11" t="n">
        <v>3.51379910862421</v>
      </c>
    </row>
    <row r="30" customFormat="false" ht="15" hidden="false" customHeight="false" outlineLevel="0" collapsed="false">
      <c r="A30" s="10" t="s">
        <v>121</v>
      </c>
      <c r="B30" s="10" t="n">
        <v>1</v>
      </c>
      <c r="C30" s="23" t="n">
        <v>0.3</v>
      </c>
      <c r="D30" s="10" t="s">
        <v>133</v>
      </c>
      <c r="E30" s="14" t="n">
        <v>0.2</v>
      </c>
      <c r="F30" s="11" t="n">
        <v>510.039544080004</v>
      </c>
      <c r="G30" s="11" t="n">
        <v>3.04022754400975</v>
      </c>
    </row>
    <row r="31" customFormat="false" ht="15" hidden="false" customHeight="false" outlineLevel="0" collapsed="false">
      <c r="A31" s="10" t="s">
        <v>121</v>
      </c>
      <c r="B31" s="10" t="n">
        <v>1</v>
      </c>
      <c r="C31" s="23" t="n">
        <v>0.3</v>
      </c>
      <c r="D31" s="10" t="s">
        <v>134</v>
      </c>
      <c r="E31" s="14" t="n">
        <v>0.1</v>
      </c>
      <c r="F31" s="11" t="n">
        <v>503.715226764927</v>
      </c>
      <c r="G31" s="11" t="n">
        <v>3.16004986114708</v>
      </c>
    </row>
    <row r="32" customFormat="false" ht="15" hidden="false" customHeight="false" outlineLevel="0" collapsed="false">
      <c r="A32" s="10" t="s">
        <v>121</v>
      </c>
      <c r="B32" s="10" t="n">
        <v>1</v>
      </c>
      <c r="C32" s="23" t="n">
        <v>0.5</v>
      </c>
      <c r="D32" s="10" t="s">
        <v>132</v>
      </c>
      <c r="E32" s="14" t="n">
        <v>0.3</v>
      </c>
      <c r="F32" s="11" t="n">
        <v>561.520385206046</v>
      </c>
      <c r="G32" s="11" t="n">
        <v>3.95754749265992</v>
      </c>
    </row>
    <row r="33" customFormat="false" ht="15" hidden="false" customHeight="false" outlineLevel="0" collapsed="false">
      <c r="A33" s="10" t="s">
        <v>121</v>
      </c>
      <c r="B33" s="10" t="n">
        <v>1</v>
      </c>
      <c r="C33" s="23" t="n">
        <v>0.5</v>
      </c>
      <c r="D33" s="10" t="s">
        <v>133</v>
      </c>
      <c r="E33" s="14" t="n">
        <v>0.2</v>
      </c>
      <c r="F33" s="11" t="n">
        <v>520.476923286239</v>
      </c>
      <c r="G33" s="11" t="n">
        <v>3.03949156746554</v>
      </c>
    </row>
    <row r="34" customFormat="false" ht="15" hidden="false" customHeight="false" outlineLevel="0" collapsed="false">
      <c r="A34" s="10" t="s">
        <v>121</v>
      </c>
      <c r="B34" s="10" t="n">
        <v>1</v>
      </c>
      <c r="C34" s="23" t="n">
        <v>0.5</v>
      </c>
      <c r="D34" s="10" t="s">
        <v>134</v>
      </c>
      <c r="E34" s="14" t="n">
        <v>0.1</v>
      </c>
      <c r="F34" s="11" t="n">
        <v>509.39901727452</v>
      </c>
      <c r="G34" s="11" t="n">
        <v>2.68131447427131</v>
      </c>
    </row>
    <row r="35" customFormat="false" ht="15" hidden="false" customHeight="false" outlineLevel="0" collapsed="false">
      <c r="A35" s="9" t="s">
        <v>155</v>
      </c>
      <c r="B35" s="9"/>
      <c r="C35" s="9"/>
      <c r="D35" s="9"/>
      <c r="E35" s="9"/>
      <c r="F35" s="9"/>
      <c r="G35" s="9"/>
    </row>
    <row r="36" customFormat="false" ht="15" hidden="false" customHeight="false" outlineLevel="0" collapsed="false">
      <c r="A36" s="10" t="s">
        <v>121</v>
      </c>
      <c r="B36" s="10" t="n">
        <v>3</v>
      </c>
      <c r="C36" s="23" t="n">
        <v>0.1</v>
      </c>
      <c r="D36" s="10" t="s">
        <v>132</v>
      </c>
      <c r="E36" s="14" t="n">
        <v>0.3</v>
      </c>
      <c r="F36" s="11" t="n">
        <v>475.409003771153</v>
      </c>
      <c r="G36" s="11" t="n">
        <v>3.71940250699562</v>
      </c>
    </row>
    <row r="37" customFormat="false" ht="15" hidden="false" customHeight="false" outlineLevel="0" collapsed="false">
      <c r="A37" s="10" t="s">
        <v>121</v>
      </c>
      <c r="B37" s="10" t="n">
        <v>3</v>
      </c>
      <c r="C37" s="23" t="n">
        <v>0.1</v>
      </c>
      <c r="D37" s="10" t="s">
        <v>133</v>
      </c>
      <c r="E37" s="14" t="n">
        <v>0.2</v>
      </c>
      <c r="F37" s="11" t="n">
        <v>463.112220002641</v>
      </c>
      <c r="G37" s="11" t="n">
        <v>3.65985742248302</v>
      </c>
    </row>
    <row r="38" customFormat="false" ht="15" hidden="false" customHeight="false" outlineLevel="0" collapsed="false">
      <c r="A38" s="10" t="s">
        <v>121</v>
      </c>
      <c r="B38" s="10" t="n">
        <v>3</v>
      </c>
      <c r="C38" s="23" t="n">
        <v>0.1</v>
      </c>
      <c r="D38" s="10" t="s">
        <v>134</v>
      </c>
      <c r="E38" s="14" t="n">
        <v>0.1</v>
      </c>
      <c r="F38" s="11" t="n">
        <v>452.543311803628</v>
      </c>
      <c r="G38" s="11" t="n">
        <v>3.88237897025215</v>
      </c>
    </row>
    <row r="39" customFormat="false" ht="15" hidden="false" customHeight="false" outlineLevel="0" collapsed="false">
      <c r="A39" s="10" t="s">
        <v>121</v>
      </c>
      <c r="B39" s="10" t="n">
        <v>3</v>
      </c>
      <c r="C39" s="23" t="n">
        <v>0.3</v>
      </c>
      <c r="D39" s="10" t="s">
        <v>132</v>
      </c>
      <c r="E39" s="14" t="n">
        <v>0.3</v>
      </c>
      <c r="F39" s="11" t="n">
        <v>528.678010984302</v>
      </c>
      <c r="G39" s="11" t="n">
        <v>4.14415781376175</v>
      </c>
    </row>
    <row r="40" customFormat="false" ht="15" hidden="false" customHeight="false" outlineLevel="0" collapsed="false">
      <c r="A40" s="17" t="s">
        <v>121</v>
      </c>
      <c r="B40" s="17" t="n">
        <v>3</v>
      </c>
      <c r="C40" s="24" t="n">
        <v>0.3</v>
      </c>
      <c r="D40" s="17" t="s">
        <v>133</v>
      </c>
      <c r="E40" s="21" t="n">
        <v>0.2</v>
      </c>
      <c r="F40" s="18" t="n">
        <v>492.702382432588</v>
      </c>
      <c r="G40" s="18" t="n">
        <v>3.47327066104315</v>
      </c>
    </row>
    <row r="41" customFormat="false" ht="15" hidden="false" customHeight="false" outlineLevel="0" collapsed="false">
      <c r="A41" s="10" t="s">
        <v>121</v>
      </c>
      <c r="B41" s="10" t="n">
        <v>3</v>
      </c>
      <c r="C41" s="23" t="n">
        <v>0.3</v>
      </c>
      <c r="D41" s="10" t="s">
        <v>134</v>
      </c>
      <c r="E41" s="14" t="n">
        <v>0.1</v>
      </c>
      <c r="F41" s="11" t="n">
        <v>466.898669538221</v>
      </c>
      <c r="G41" s="11" t="n">
        <v>3.82395677134905</v>
      </c>
    </row>
    <row r="42" customFormat="false" ht="15" hidden="false" customHeight="false" outlineLevel="0" collapsed="false">
      <c r="A42" s="10" t="s">
        <v>121</v>
      </c>
      <c r="B42" s="10" t="n">
        <v>3</v>
      </c>
      <c r="C42" s="23" t="n">
        <v>0.5</v>
      </c>
      <c r="D42" s="10" t="s">
        <v>132</v>
      </c>
      <c r="E42" s="14" t="n">
        <v>0.3</v>
      </c>
      <c r="F42" s="11" t="n">
        <v>560.577176880456</v>
      </c>
      <c r="G42" s="11" t="n">
        <v>4.75153789032967</v>
      </c>
    </row>
    <row r="43" customFormat="false" ht="15" hidden="false" customHeight="false" outlineLevel="0" collapsed="false">
      <c r="A43" s="10" t="s">
        <v>121</v>
      </c>
      <c r="B43" s="10" t="n">
        <v>3</v>
      </c>
      <c r="C43" s="23" t="n">
        <v>0.5</v>
      </c>
      <c r="D43" s="10" t="s">
        <v>133</v>
      </c>
      <c r="E43" s="14" t="n">
        <v>0.2</v>
      </c>
      <c r="F43" s="11" t="n">
        <v>515.245017541403</v>
      </c>
      <c r="G43" s="11" t="n">
        <v>3.83064999539587</v>
      </c>
    </row>
    <row r="44" customFormat="false" ht="15" hidden="false" customHeight="false" outlineLevel="0" collapsed="false">
      <c r="A44" s="10" t="s">
        <v>121</v>
      </c>
      <c r="B44" s="10" t="n">
        <v>3</v>
      </c>
      <c r="C44" s="23" t="n">
        <v>0.5</v>
      </c>
      <c r="D44" s="10" t="s">
        <v>134</v>
      </c>
      <c r="E44" s="14" t="n">
        <v>0.1</v>
      </c>
      <c r="F44" s="11" t="n">
        <v>475.755504335867</v>
      </c>
      <c r="G44" s="11" t="n">
        <v>3.65263302265093</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8"/>
    <col collapsed="false" customWidth="true" hidden="false" outlineLevel="0" max="9" min="6" style="0" width="10"/>
  </cols>
  <sheetData>
    <row r="1" customFormat="false" ht="15" hidden="false" customHeight="false" outlineLevel="0" collapsed="false">
      <c r="A1" s="15" t="s">
        <v>19</v>
      </c>
      <c r="B1" s="15"/>
      <c r="C1" s="15"/>
      <c r="D1" s="15"/>
      <c r="E1" s="15"/>
      <c r="F1" s="15"/>
      <c r="G1" s="15"/>
      <c r="H1" s="15"/>
      <c r="I1" s="15"/>
    </row>
    <row r="2" customFormat="false" ht="30" hidden="false" customHeight="true" outlineLevel="0" collapsed="false">
      <c r="A2" s="16" t="s">
        <v>156</v>
      </c>
      <c r="B2" s="16"/>
      <c r="C2" s="16"/>
      <c r="D2" s="16"/>
      <c r="E2" s="16"/>
      <c r="F2" s="16"/>
      <c r="G2" s="16"/>
      <c r="H2" s="16"/>
      <c r="I2" s="16"/>
    </row>
    <row r="3" customFormat="false" ht="15" hidden="false" customHeight="false" outlineLevel="0" collapsed="false">
      <c r="A3" s="7"/>
      <c r="B3" s="7"/>
      <c r="C3" s="7"/>
      <c r="D3" s="7"/>
      <c r="E3" s="7"/>
      <c r="F3" s="7"/>
      <c r="G3" s="7"/>
      <c r="H3" s="7"/>
      <c r="I3" s="7"/>
    </row>
    <row r="4" customFormat="false" ht="31.5" hidden="false" customHeight="true" outlineLevel="0" collapsed="false">
      <c r="A4" s="2" t="s">
        <v>157</v>
      </c>
      <c r="B4" s="2" t="s">
        <v>158</v>
      </c>
      <c r="C4" s="2" t="s">
        <v>159</v>
      </c>
      <c r="D4" s="2" t="s">
        <v>160</v>
      </c>
      <c r="E4" s="2" t="s">
        <v>161</v>
      </c>
      <c r="F4" s="2" t="s">
        <v>162</v>
      </c>
      <c r="G4" s="2" t="s">
        <v>163</v>
      </c>
      <c r="H4" s="2" t="s">
        <v>164</v>
      </c>
      <c r="I4" s="2" t="s">
        <v>165</v>
      </c>
    </row>
    <row r="5" customFormat="false" ht="15" hidden="false" customHeight="false" outlineLevel="0" collapsed="false">
      <c r="A5" s="17" t="s">
        <v>166</v>
      </c>
      <c r="B5" s="18" t="n">
        <v>607.479790009665</v>
      </c>
      <c r="C5" s="18" t="n">
        <v>605.565515329861</v>
      </c>
      <c r="D5" s="18" t="n">
        <v>491.871267198089</v>
      </c>
      <c r="E5" s="18" t="n">
        <v>430.815691868391</v>
      </c>
      <c r="F5" s="17" t="s">
        <v>167</v>
      </c>
      <c r="G5" s="17" t="s">
        <v>167</v>
      </c>
      <c r="H5" s="17" t="s">
        <v>167</v>
      </c>
      <c r="I5" s="17" t="s">
        <v>167</v>
      </c>
    </row>
    <row r="6" customFormat="false" ht="15" hidden="false" customHeight="false" outlineLevel="0" collapsed="false">
      <c r="A6" s="10" t="s">
        <v>168</v>
      </c>
      <c r="B6" s="11" t="n">
        <v>574.387772208151</v>
      </c>
      <c r="C6" s="11" t="n">
        <v>571.612206748567</v>
      </c>
      <c r="D6" s="11" t="n">
        <v>488.805010519187</v>
      </c>
      <c r="E6" s="11" t="n">
        <v>411.750605103699</v>
      </c>
      <c r="F6" s="10" t="s">
        <v>167</v>
      </c>
      <c r="G6" s="10" t="s">
        <v>167</v>
      </c>
      <c r="H6" s="10" t="s">
        <v>167</v>
      </c>
      <c r="I6" s="10" t="s">
        <v>167</v>
      </c>
    </row>
    <row r="7" customFormat="false" ht="15" hidden="false" customHeight="false" outlineLevel="0" collapsed="false">
      <c r="A7" s="10" t="s">
        <v>169</v>
      </c>
      <c r="B7" s="11" t="n">
        <v>637.814038172466</v>
      </c>
      <c r="C7" s="11" t="n">
        <v>625.913263657016</v>
      </c>
      <c r="D7" s="11" t="n">
        <v>490.584146203911</v>
      </c>
      <c r="E7" s="11" t="n">
        <v>443.474104085274</v>
      </c>
      <c r="F7" s="10" t="s">
        <v>167</v>
      </c>
      <c r="G7" s="10" t="s">
        <v>167</v>
      </c>
      <c r="H7" s="10" t="s">
        <v>167</v>
      </c>
      <c r="I7" s="10" t="s">
        <v>167</v>
      </c>
    </row>
    <row r="8" customFormat="false" ht="15" hidden="false" customHeight="false" outlineLevel="0" collapsed="false">
      <c r="A8" s="10" t="s">
        <v>170</v>
      </c>
      <c r="B8" s="11" t="n">
        <v>575.813909397302</v>
      </c>
      <c r="C8" s="11" t="n">
        <v>565.468153344641</v>
      </c>
      <c r="D8" s="11" t="n">
        <v>495.625526719749</v>
      </c>
      <c r="E8" s="11" t="n">
        <v>404.447405668144</v>
      </c>
      <c r="F8" s="10" t="s">
        <v>167</v>
      </c>
      <c r="G8" s="10" t="s">
        <v>167</v>
      </c>
      <c r="H8" s="10" t="s">
        <v>167</v>
      </c>
      <c r="I8" s="10" t="s">
        <v>167</v>
      </c>
    </row>
    <row r="9" customFormat="false" ht="15" hidden="false" customHeight="false" outlineLevel="0" collapsed="false">
      <c r="A9" s="10" t="s">
        <v>171</v>
      </c>
      <c r="B9" s="11" t="n">
        <v>658.899520985342</v>
      </c>
      <c r="C9" s="11" t="n">
        <v>660.456783415831</v>
      </c>
      <c r="D9" s="11" t="n">
        <v>494.861200750264</v>
      </c>
      <c r="E9" s="11" t="n">
        <v>457.170639361182</v>
      </c>
      <c r="F9" s="10" t="s">
        <v>167</v>
      </c>
      <c r="G9" s="10" t="s">
        <v>167</v>
      </c>
      <c r="H9" s="10" t="s">
        <v>167</v>
      </c>
      <c r="I9" s="10" t="s">
        <v>167</v>
      </c>
    </row>
    <row r="10" customFormat="false" ht="15" hidden="false" customHeight="false" outlineLevel="0" collapsed="false">
      <c r="A10" s="10" t="s">
        <v>172</v>
      </c>
      <c r="B10" s="11" t="n">
        <v>602.972295542592</v>
      </c>
      <c r="C10" s="11" t="n">
        <v>604.501658166381</v>
      </c>
      <c r="D10" s="11" t="n">
        <v>427.280184682245</v>
      </c>
      <c r="E10" s="11" t="n">
        <v>427.894687367786</v>
      </c>
      <c r="F10" s="10" t="s">
        <v>167</v>
      </c>
      <c r="G10" s="10" t="s">
        <v>167</v>
      </c>
      <c r="H10" s="10" t="s">
        <v>167</v>
      </c>
      <c r="I10" s="10" t="s">
        <v>167</v>
      </c>
    </row>
    <row r="11" customFormat="false" ht="15" hidden="false" customHeight="false" outlineLevel="0" collapsed="false">
      <c r="A11" s="10" t="s">
        <v>173</v>
      </c>
      <c r="B11" s="11" t="n">
        <v>696.577482524901</v>
      </c>
      <c r="C11" s="11" t="n">
        <v>606.451825225977</v>
      </c>
      <c r="D11" s="11" t="n">
        <v>670.760785852474</v>
      </c>
      <c r="E11" s="11" t="n">
        <v>427.854056607792</v>
      </c>
      <c r="F11" s="10" t="s">
        <v>167</v>
      </c>
      <c r="G11" s="10" t="s">
        <v>167</v>
      </c>
      <c r="H11" s="10" t="s">
        <v>174</v>
      </c>
      <c r="I11" s="10" t="s">
        <v>167</v>
      </c>
    </row>
    <row r="12" customFormat="false" ht="15" hidden="false" customHeight="false" outlineLevel="0" collapsed="false">
      <c r="A12" s="7"/>
      <c r="B12" s="7"/>
      <c r="C12" s="7"/>
      <c r="D12" s="7"/>
      <c r="E12" s="7"/>
      <c r="F12" s="7"/>
      <c r="G12" s="7"/>
      <c r="H12" s="7"/>
      <c r="I12" s="7"/>
    </row>
    <row r="13" customFormat="false" ht="15" hidden="false" customHeight="false" outlineLevel="0" collapsed="false">
      <c r="A13" s="25" t="s">
        <v>175</v>
      </c>
      <c r="B13" s="7"/>
      <c r="C13" s="7"/>
      <c r="D13" s="7"/>
      <c r="E13" s="7"/>
      <c r="F13" s="7"/>
      <c r="G13" s="7"/>
      <c r="H13" s="7"/>
      <c r="I13" s="7"/>
    </row>
    <row r="14" customFormat="false" ht="15" hidden="false" customHeight="false" outlineLevel="0" collapsed="false">
      <c r="A14" s="25" t="s">
        <v>176</v>
      </c>
      <c r="B14" s="7"/>
      <c r="C14" s="7"/>
      <c r="D14" s="7"/>
      <c r="E14" s="7"/>
      <c r="F14" s="7"/>
      <c r="G14" s="7"/>
      <c r="H14" s="7"/>
      <c r="I14" s="7"/>
    </row>
    <row r="15" customFormat="false" ht="15" hidden="false" customHeight="false" outlineLevel="0" collapsed="false">
      <c r="A15" s="25" t="s">
        <v>177</v>
      </c>
      <c r="B15" s="7"/>
      <c r="C15" s="7"/>
      <c r="D15" s="7"/>
      <c r="E15" s="7"/>
      <c r="F15" s="7"/>
      <c r="G15" s="7"/>
      <c r="H15" s="7"/>
      <c r="I15" s="7"/>
    </row>
    <row r="16" customFormat="false" ht="15" hidden="false" customHeight="false" outlineLevel="0" collapsed="false">
      <c r="A16" s="25" t="s">
        <v>178</v>
      </c>
      <c r="B16" s="7"/>
      <c r="C16" s="7"/>
      <c r="D16" s="7"/>
      <c r="E16" s="7"/>
      <c r="F16" s="7"/>
      <c r="G16" s="7"/>
      <c r="H16" s="7"/>
      <c r="I16" s="7"/>
    </row>
    <row r="17" customFormat="false" ht="15" hidden="false" customHeight="false" outlineLevel="0" collapsed="false">
      <c r="A17" s="7"/>
      <c r="B17" s="7"/>
      <c r="C17" s="7"/>
      <c r="D17" s="7"/>
      <c r="E17" s="7"/>
      <c r="F17" s="7"/>
      <c r="G17" s="7"/>
      <c r="H17" s="7"/>
      <c r="I17" s="7"/>
    </row>
    <row r="18" customFormat="false" ht="15" hidden="false" customHeight="false" outlineLevel="0" collapsed="false">
      <c r="A18" s="8" t="s">
        <v>179</v>
      </c>
      <c r="B18" s="7"/>
      <c r="C18" s="7"/>
      <c r="D18" s="7"/>
      <c r="E18" s="7"/>
      <c r="F18" s="7"/>
      <c r="G18" s="7"/>
      <c r="H18" s="7"/>
      <c r="I18" s="7"/>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8"/>
    <col collapsed="false" customWidth="true" hidden="false" outlineLevel="0" max="4" min="4" style="0" width="14"/>
  </cols>
  <sheetData>
    <row r="1" customFormat="false" ht="15" hidden="false" customHeight="false" outlineLevel="0" collapsed="false">
      <c r="A1" s="15" t="s">
        <v>180</v>
      </c>
      <c r="B1" s="15"/>
      <c r="C1" s="15"/>
      <c r="D1" s="15"/>
    </row>
    <row r="2" customFormat="false" ht="30" hidden="false" customHeight="true" outlineLevel="0" collapsed="false">
      <c r="A2" s="16" t="s">
        <v>181</v>
      </c>
      <c r="B2" s="16"/>
      <c r="C2" s="16"/>
      <c r="D2" s="16"/>
    </row>
    <row r="3" customFormat="false" ht="15" hidden="false" customHeight="false" outlineLevel="0" collapsed="false">
      <c r="A3" s="7"/>
      <c r="B3" s="7"/>
      <c r="C3" s="7"/>
      <c r="D3" s="7"/>
    </row>
    <row r="4" customFormat="false" ht="31.5" hidden="false" customHeight="true" outlineLevel="0" collapsed="false">
      <c r="A4" s="2" t="s">
        <v>182</v>
      </c>
      <c r="B4" s="2" t="s">
        <v>113</v>
      </c>
      <c r="C4" s="2" t="s">
        <v>183</v>
      </c>
      <c r="D4" s="2" t="s">
        <v>184</v>
      </c>
    </row>
    <row r="5" customFormat="false" ht="15" hidden="false" customHeight="false" outlineLevel="0" collapsed="false">
      <c r="A5" s="17" t="s">
        <v>185</v>
      </c>
      <c r="B5" s="18" t="n">
        <v>492.7</v>
      </c>
      <c r="C5" s="17" t="s">
        <v>186</v>
      </c>
      <c r="D5" s="17"/>
    </row>
    <row r="6" customFormat="false" ht="15" hidden="false" customHeight="false" outlineLevel="0" collapsed="false">
      <c r="A6" s="10" t="s">
        <v>187</v>
      </c>
      <c r="B6" s="11" t="n">
        <v>541.9</v>
      </c>
      <c r="C6" s="10" t="s">
        <v>188</v>
      </c>
      <c r="D6" s="10" t="s">
        <v>189</v>
      </c>
    </row>
    <row r="7" customFormat="false" ht="15" hidden="false" customHeight="false" outlineLevel="0" collapsed="false">
      <c r="A7" s="10" t="s">
        <v>190</v>
      </c>
      <c r="B7" s="11" t="n">
        <v>353.9</v>
      </c>
      <c r="C7" s="10" t="s">
        <v>191</v>
      </c>
      <c r="D7" s="10" t="s">
        <v>189</v>
      </c>
    </row>
    <row r="8" customFormat="false" ht="15" hidden="false" customHeight="false" outlineLevel="0" collapsed="false">
      <c r="A8" s="10" t="s">
        <v>192</v>
      </c>
      <c r="B8" s="11" t="n">
        <v>447.4</v>
      </c>
      <c r="C8" s="10" t="s">
        <v>191</v>
      </c>
      <c r="D8" s="10" t="s">
        <v>189</v>
      </c>
    </row>
    <row r="9" customFormat="false" ht="15" hidden="false" customHeight="false" outlineLevel="0" collapsed="false">
      <c r="A9" s="10" t="s">
        <v>193</v>
      </c>
      <c r="B9" s="11" t="n">
        <v>436.6</v>
      </c>
      <c r="C9" s="10" t="s">
        <v>191</v>
      </c>
      <c r="D9" s="10" t="s">
        <v>189</v>
      </c>
    </row>
    <row r="10" customFormat="false" ht="15" hidden="false" customHeight="false" outlineLevel="0" collapsed="false">
      <c r="A10" s="10" t="s">
        <v>194</v>
      </c>
      <c r="B10" s="11" t="n">
        <v>713.8</v>
      </c>
      <c r="C10" s="10" t="s">
        <v>188</v>
      </c>
      <c r="D10" s="10" t="s">
        <v>189</v>
      </c>
    </row>
    <row r="11" customFormat="false" ht="15" hidden="false" customHeight="false" outlineLevel="0" collapsed="false">
      <c r="A11" s="10" t="s">
        <v>195</v>
      </c>
      <c r="B11" s="11" t="n">
        <v>588.4</v>
      </c>
      <c r="C11" s="10" t="s">
        <v>188</v>
      </c>
      <c r="D11" s="10" t="s">
        <v>189</v>
      </c>
    </row>
    <row r="12" customFormat="false" ht="15" hidden="false" customHeight="false" outlineLevel="0" collapsed="false">
      <c r="A12" s="10" t="s">
        <v>196</v>
      </c>
      <c r="B12" s="11" t="n">
        <v>510</v>
      </c>
      <c r="C12" s="10" t="s">
        <v>188</v>
      </c>
      <c r="D12" s="10" t="s">
        <v>189</v>
      </c>
    </row>
    <row r="13" customFormat="false" ht="15" hidden="false" customHeight="false" outlineLevel="0" collapsed="false">
      <c r="A13" s="7"/>
      <c r="B13" s="7"/>
      <c r="C13" s="7"/>
      <c r="D13" s="7"/>
    </row>
    <row r="14" customFormat="false" ht="15" hidden="false" customHeight="false" outlineLevel="0" collapsed="false">
      <c r="A14" s="8" t="s">
        <v>197</v>
      </c>
      <c r="B14" s="7"/>
      <c r="C14" s="7"/>
      <c r="D14" s="7"/>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17"/>
    <col collapsed="false" customWidth="true" hidden="false" outlineLevel="0" max="4" min="4" style="0" width="54"/>
  </cols>
  <sheetData>
    <row r="1" customFormat="false" ht="15" hidden="false" customHeight="false" outlineLevel="0" collapsed="false">
      <c r="A1" s="15" t="s">
        <v>198</v>
      </c>
      <c r="B1" s="15"/>
      <c r="C1" s="15"/>
      <c r="D1" s="15"/>
    </row>
    <row r="2" customFormat="false" ht="30" hidden="false" customHeight="true" outlineLevel="0" collapsed="false">
      <c r="A2" s="16" t="s">
        <v>199</v>
      </c>
      <c r="B2" s="16"/>
      <c r="C2" s="16"/>
      <c r="D2" s="16"/>
    </row>
    <row r="3" customFormat="false" ht="15" hidden="false" customHeight="false" outlineLevel="0" collapsed="false">
      <c r="A3" s="7"/>
      <c r="B3" s="7"/>
      <c r="C3" s="7"/>
      <c r="D3" s="7"/>
    </row>
    <row r="4" customFormat="false" ht="31.5" hidden="false" customHeight="true" outlineLevel="0" collapsed="false">
      <c r="A4" s="2" t="s">
        <v>200</v>
      </c>
      <c r="B4" s="2" t="s">
        <v>201</v>
      </c>
      <c r="C4" s="2" t="s">
        <v>202</v>
      </c>
      <c r="D4" s="2" t="s">
        <v>203</v>
      </c>
    </row>
    <row r="5" customFormat="false" ht="15" hidden="false" customHeight="false" outlineLevel="0" collapsed="false">
      <c r="A5" s="10" t="s">
        <v>204</v>
      </c>
      <c r="B5" s="10" t="s">
        <v>132</v>
      </c>
      <c r="C5" s="14" t="n">
        <v>0.1</v>
      </c>
      <c r="D5" s="10" t="s">
        <v>205</v>
      </c>
    </row>
    <row r="6" customFormat="false" ht="15" hidden="false" customHeight="false" outlineLevel="0" collapsed="false">
      <c r="A6" s="17" t="s">
        <v>204</v>
      </c>
      <c r="B6" s="17" t="s">
        <v>206</v>
      </c>
      <c r="C6" s="21" t="n">
        <v>0.3</v>
      </c>
      <c r="D6" s="17"/>
    </row>
    <row r="7" customFormat="false" ht="15" hidden="false" customHeight="false" outlineLevel="0" collapsed="false">
      <c r="A7" s="10" t="s">
        <v>204</v>
      </c>
      <c r="B7" s="10" t="s">
        <v>134</v>
      </c>
      <c r="C7" s="14" t="n">
        <v>0.5</v>
      </c>
      <c r="D7" s="10"/>
    </row>
    <row r="8" customFormat="false" ht="15" hidden="false" customHeight="false" outlineLevel="0" collapsed="false">
      <c r="A8" s="10" t="s">
        <v>207</v>
      </c>
      <c r="B8" s="10" t="s">
        <v>132</v>
      </c>
      <c r="C8" s="14" t="n">
        <v>0.3</v>
      </c>
      <c r="D8" s="10" t="s">
        <v>208</v>
      </c>
    </row>
    <row r="9" customFormat="false" ht="15" hidden="false" customHeight="false" outlineLevel="0" collapsed="false">
      <c r="A9" s="17" t="s">
        <v>207</v>
      </c>
      <c r="B9" s="17" t="s">
        <v>206</v>
      </c>
      <c r="C9" s="21" t="n">
        <v>0.2</v>
      </c>
      <c r="D9" s="17" t="s">
        <v>209</v>
      </c>
    </row>
    <row r="10" customFormat="false" ht="15" hidden="false" customHeight="false" outlineLevel="0" collapsed="false">
      <c r="A10" s="10" t="s">
        <v>207</v>
      </c>
      <c r="B10" s="10" t="s">
        <v>134</v>
      </c>
      <c r="C10" s="14" t="n">
        <v>0.1</v>
      </c>
      <c r="D10" s="10"/>
    </row>
    <row r="11" customFormat="false" ht="15" hidden="false" customHeight="false" outlineLevel="0" collapsed="false">
      <c r="A11" s="10" t="s">
        <v>210</v>
      </c>
      <c r="B11" s="10" t="s">
        <v>132</v>
      </c>
      <c r="C11" s="14" t="n">
        <v>1</v>
      </c>
      <c r="D11" s="10" t="s">
        <v>211</v>
      </c>
    </row>
    <row r="12" customFormat="false" ht="15" hidden="false" customHeight="false" outlineLevel="0" collapsed="false">
      <c r="A12" s="17" t="s">
        <v>210</v>
      </c>
      <c r="B12" s="17" t="s">
        <v>206</v>
      </c>
      <c r="C12" s="21" t="n">
        <v>0.8</v>
      </c>
      <c r="D12" s="17"/>
    </row>
    <row r="13" customFormat="false" ht="15" hidden="false" customHeight="false" outlineLevel="0" collapsed="false">
      <c r="A13" s="10" t="s">
        <v>210</v>
      </c>
      <c r="B13" s="10" t="s">
        <v>134</v>
      </c>
      <c r="C13" s="14" t="n">
        <v>0.6</v>
      </c>
      <c r="D13" s="10"/>
    </row>
    <row r="14" customFormat="false" ht="15" hidden="false" customHeight="false" outlineLevel="0" collapsed="false">
      <c r="A14" s="10" t="s">
        <v>49</v>
      </c>
      <c r="B14" s="10" t="s">
        <v>132</v>
      </c>
      <c r="C14" s="14" t="n">
        <v>0.5</v>
      </c>
      <c r="D14" s="10" t="s">
        <v>212</v>
      </c>
    </row>
    <row r="15" customFormat="false" ht="15" hidden="false" customHeight="false" outlineLevel="0" collapsed="false">
      <c r="A15" s="17" t="s">
        <v>49</v>
      </c>
      <c r="B15" s="17" t="s">
        <v>206</v>
      </c>
      <c r="C15" s="21" t="n">
        <v>0.65</v>
      </c>
      <c r="D15" s="17"/>
    </row>
    <row r="16" customFormat="false" ht="15" hidden="false" customHeight="false" outlineLevel="0" collapsed="false">
      <c r="A16" s="10" t="s">
        <v>49</v>
      </c>
      <c r="B16" s="10" t="s">
        <v>134</v>
      </c>
      <c r="C16" s="14" t="n">
        <v>0.8</v>
      </c>
      <c r="D16" s="10"/>
    </row>
    <row r="17" customFormat="false" ht="15" hidden="false" customHeight="false" outlineLevel="0" collapsed="false">
      <c r="A17" s="10" t="s">
        <v>41</v>
      </c>
      <c r="B17" s="10" t="s">
        <v>213</v>
      </c>
      <c r="C17" s="14" t="n">
        <v>1</v>
      </c>
      <c r="D17" s="10" t="s">
        <v>214</v>
      </c>
    </row>
    <row r="18" customFormat="false" ht="15" hidden="false" customHeight="false" outlineLevel="0" collapsed="false">
      <c r="A18" s="10" t="s">
        <v>41</v>
      </c>
      <c r="B18" s="10" t="s">
        <v>215</v>
      </c>
      <c r="C18" s="14" t="n">
        <v>2</v>
      </c>
      <c r="D18" s="10"/>
    </row>
    <row r="19" customFormat="false" ht="15" hidden="false" customHeight="false" outlineLevel="0" collapsed="false">
      <c r="A19" s="17" t="s">
        <v>41</v>
      </c>
      <c r="B19" s="17" t="s">
        <v>206</v>
      </c>
      <c r="C19" s="21" t="n">
        <v>3</v>
      </c>
      <c r="D19" s="17"/>
    </row>
    <row r="20" customFormat="false" ht="15" hidden="false" customHeight="false" outlineLevel="0" collapsed="false">
      <c r="A20" s="10" t="s">
        <v>9</v>
      </c>
      <c r="B20" s="10" t="s">
        <v>216</v>
      </c>
      <c r="C20" s="14"/>
      <c r="D20" s="10" t="s">
        <v>217</v>
      </c>
    </row>
    <row r="21" customFormat="false" ht="15" hidden="false" customHeight="false" outlineLevel="0" collapsed="false">
      <c r="A21" s="17" t="s">
        <v>9</v>
      </c>
      <c r="B21" s="17" t="s">
        <v>206</v>
      </c>
      <c r="C21" s="21"/>
      <c r="D21" s="17" t="s">
        <v>218</v>
      </c>
    </row>
    <row r="22" customFormat="false" ht="15" hidden="false" customHeight="false" outlineLevel="0" collapsed="false">
      <c r="A22" s="7"/>
      <c r="B22" s="7"/>
      <c r="C22" s="7"/>
      <c r="D22" s="7"/>
    </row>
    <row r="23" customFormat="false" ht="15" hidden="false" customHeight="false" outlineLevel="0" collapsed="false">
      <c r="A23" s="8" t="s">
        <v>219</v>
      </c>
      <c r="B23" s="7"/>
      <c r="C23" s="7"/>
      <c r="D23" s="7"/>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2026-10-08T15:08:06Z</dcterms:created>
  <dc:creator>openpyxl</dc:creator>
  <dc:description/>
  <dc:language>en-US</dc:language>
  <cp:lastModifiedBy/>
  <dcterms:modified xsi:type="dcterms:W3CDTF">2026-10-08T15:08:06Z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